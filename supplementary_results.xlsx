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4040"/>
  </bookViews>
  <sheets>
    <sheet name="Sensitivity (Survey, Persona)" sheetId="1" r:id="rId1"/>
    <sheet name="Semantic Consistency" sheetId="5" r:id="rId2"/>
    <sheet name="Persona Vector" sheetId="3" r:id="rId3"/>
    <sheet name="Robustness (Larger N)" sheetId="2" r:id="rId4"/>
    <sheet name="Layer Sensitivity"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<sst xmlns="http://schemas.openxmlformats.org/spreadsheetml/2006/main" count="2325" uniqueCount="93">
  <si>
    <t>Sensitivity of PSII Outcomes to Variations in Survey Questions and Persona Instructions across Random Seeds and LLM Models</t>
  </si>
  <si>
    <t>Model</t>
  </si>
  <si>
    <t>Method</t>
  </si>
  <si>
    <t>Setting</t>
  </si>
  <si>
    <t>Beliefs &amp; Life</t>
  </si>
  <si>
    <t>Social Integration</t>
  </si>
  <si>
    <t>Political Engagement</t>
  </si>
  <si>
    <t>Economic Progress</t>
  </si>
  <si>
    <t>Overall</t>
  </si>
  <si>
    <t>KL</t>
  </si>
  <si>
    <t>ED</t>
  </si>
  <si>
    <t>Qwen-2.5-7B</t>
  </si>
  <si>
    <t>PSII</t>
  </si>
  <si>
    <t>S1: GPT-4o (Default, no seed, original setting)</t>
  </si>
  <si>
    <t>S2: GPT-4o (Seed = 1)</t>
  </si>
  <si>
    <t>S3: GPT-4o (Seed = 123)</t>
  </si>
  <si>
    <t>S4: GPT-4o (Seed = 42)</t>
  </si>
  <si>
    <t>S5: GPT-5-mini (Default, no seed)</t>
  </si>
  <si>
    <t>Avg.</t>
  </si>
  <si>
    <t>Var.</t>
  </si>
  <si>
    <r>
      <rPr>
        <b/>
        <sz val="11"/>
        <color theme="1"/>
        <rFont val="Times New Roman"/>
        <charset val="134"/>
      </rPr>
      <t>Description:</t>
    </r>
    <r>
      <rPr>
        <sz val="11"/>
        <color theme="1"/>
        <rFont val="Times New Roman"/>
        <charset val="134"/>
      </rPr>
      <t xml:space="preserve">
We conduct a sensitivity analysis on the construction of demographic vectors, which relies on LLM-generated survey questions and persona instructions. 
While the original setting uses GPT-4o without a fixed seed, we generate additional variants using GPT-5 mini (without seed control) and GPT-4o with three different random seeds (1, 123, and 42). 
Based on these variants, we construct demographic vectors for Qwen2.5-7B. 
The full vector outputs are provided in the anonymous repository (see demographic_vectors/ and demographic_vectors/data/). 
We then incorporate these vectors into the PSII framework, and the results are summarized in the table. 
The first five rows report performance under different settings, while the last two rows present the mean and variance across all five settings. 
The results demonstrate strong robustness: the mean performance remains highly consistent across settings, indicating that variations in question and persona generation have negligible impact on the superiority of PSII. 
Furthermore, the variance across all dimensions is consistently below 0.01, providing additional evidence for the stability of our method.</t>
    </r>
  </si>
  <si>
    <t>Semantic Consistency of Generated Survey Questions and Persona Instructions across Seeds, Models, and Prompt Variants</t>
  </si>
  <si>
    <r>
      <rPr>
        <b/>
        <sz val="11"/>
        <color theme="1"/>
        <rFont val="Times New Roman"/>
        <charset val="134"/>
      </rPr>
      <t xml:space="preserve">Description:
</t>
    </r>
    <r>
      <rPr>
        <sz val="11"/>
        <color theme="1"/>
        <rFont val="Times New Roman"/>
        <charset val="134"/>
      </rPr>
      <t>To further validate the robustness of demographic vector construction, we conduct a semantic similarity analysis on the generated survey questions and persona instructions across different settings. 
Specifically, we encode the texts using the sentence-transformers model paraphrase-multilingual-MiniLM-L12-v2 and compute pairwise similarities. 
The analysis covers 11 generation settings, including: 
(1) Different LLMs (GPT-4o, GPT-5 mini, DeepSeek-V3, and Claude-Haiku-4.5);
(2) Four prompt template variants under GPT-4o;
(3) GPT-4o with three different random seeds (1, 123, 42). 
The full generation outputs are provided in the anonymous repository (see demographic_vectors/data/). 
The first table reports cross-model similarities, showing that all model pairs achieve similarity scores above 0.9 except for Claude (</t>
    </r>
    <r>
      <rPr>
        <sz val="11"/>
        <color theme="1"/>
        <rFont val="宋体"/>
        <charset val="134"/>
      </rPr>
      <t>≈</t>
    </r>
    <r>
      <rPr>
        <sz val="11"/>
        <color theme="1"/>
        <rFont val="Times New Roman"/>
        <charset val="134"/>
      </rPr>
      <t>0.87), indicating strong consistency across models. 
The second table presents similarity scores across different settings at the qcode level (i.e., personality variable level), while the third table aggregates similarities across all qcodes and settings. 
Overall, the results consistently show high semantic similarity across all configurations, demonstrating that the generated prompts are highly stable and robust to variations in model choice, prompt templates, and random seeds.</t>
    </r>
  </si>
  <si>
    <t>Summary Similarity Between Settings</t>
  </si>
  <si>
    <t>Claude-Haiku-4.5</t>
  </si>
  <si>
    <t>Deepseek-V3</t>
  </si>
  <si>
    <t>GPT-4o (Original setting)</t>
  </si>
  <si>
    <t>GPT-4o (Prompt Template = Variant1)</t>
  </si>
  <si>
    <t>GPT-4o (Prompt Template = Variant2)</t>
  </si>
  <si>
    <t>GPT-4o (Prompt Template = Variant3)</t>
  </si>
  <si>
    <t>GPT-4o (Prompt Template = Variant4)</t>
  </si>
  <si>
    <t>GPT-4o (Seed = 1)</t>
  </si>
  <si>
    <t>GPT-4o (Seed = 123)</t>
  </si>
  <si>
    <t>GPT-4o (Seed = 42)</t>
  </si>
  <si>
    <t>GPT-5-mini</t>
  </si>
  <si>
    <t>Summary Similarity Between Qcodes</t>
  </si>
  <si>
    <t>Qcode</t>
  </si>
  <si>
    <t>Num. Versions</t>
  </si>
  <si>
    <t>Num. Pairs</t>
  </si>
  <si>
    <t>Avg. Similarity</t>
  </si>
  <si>
    <t>Min Similarity</t>
  </si>
  <si>
    <t>Max Similarity</t>
  </si>
  <si>
    <t>Q260</t>
  </si>
  <si>
    <t>Q263</t>
  </si>
  <si>
    <t>Q271</t>
  </si>
  <si>
    <t>Q273</t>
  </si>
  <si>
    <t>Q275</t>
  </si>
  <si>
    <t>Q279</t>
  </si>
  <si>
    <t>Q281</t>
  </si>
  <si>
    <t>Q284</t>
  </si>
  <si>
    <t>Q285</t>
  </si>
  <si>
    <t>Q286</t>
  </si>
  <si>
    <t>Q287</t>
  </si>
  <si>
    <t>Q288</t>
  </si>
  <si>
    <t>Q289</t>
  </si>
  <si>
    <t>Pairwise Comparison Between Qcodes and Settings</t>
  </si>
  <si>
    <t>Setting A</t>
  </si>
  <si>
    <t>Setting B</t>
  </si>
  <si>
    <t>Similarity</t>
  </si>
  <si>
    <t>Comparison with Persona Vector Baseline</t>
  </si>
  <si>
    <t>Persona Vectors</t>
  </si>
  <si>
    <t>Qwen-2.5-14B</t>
  </si>
  <si>
    <t>Llama-3.1-8B</t>
  </si>
  <si>
    <t>Mistral-24B</t>
  </si>
  <si>
    <r>
      <rPr>
        <b/>
        <sz val="11"/>
        <color theme="1"/>
        <rFont val="Times New Roman"/>
        <charset val="134"/>
      </rPr>
      <t>Description:</t>
    </r>
    <r>
      <rPr>
        <sz val="11"/>
        <color theme="1"/>
        <rFont val="Times New Roman"/>
        <charset val="134"/>
      </rPr>
      <t xml:space="preserve">
We include Persona Vectors as an additional baseline for comparison. 
Notably, the original method is primarily designed for generating personality-oriented vectors (e.g., evil, sycophancy, hallucination), 
rather than for demographic vector construction or social survey modeling. 
To ensure a fair comparison, we adapt and reproduce the method following its original formulation within our setting, using the reported best hyperparameters (layer = 20, steering type = response, coef = 2). 
The results are summarized in the table, where we compare PSII and Persona Vectors across multiple models, including Qwen-2.5-7B, Qwen-2.5-14B, Llama-3.1-8B, and Mistral-24B. 
Across all evaluation metrics, both methods are able to capture behavioral distributions to some extent; 
however, PSII consistently achieves better performance in terms of accuracy (KL divergence) and diversity (normalized entropy). 
This suggests that while Persona Vectors are effective for general personality modeling, there remains room for adaptation in the context of social survey simulation. 
In contrast, PSII incorporates value vectors, prompt-based profiles, noise injection, and layer-wise injection, 
and adopts a steering type = all strategy with vector construction based on deviations between specific personas and population averages, making it better aligned with this task. 
We will incorporate Persona Vectors as a formal baseline in the revised version and include additional analysis accordingly.</t>
    </r>
  </si>
  <si>
    <t>Robustness of PSII under Increased Agent Population (N = 500)</t>
  </si>
  <si>
    <t>Group</t>
  </si>
  <si>
    <t>Group A: n=100 (Original Sample)</t>
  </si>
  <si>
    <t>Group B: n=100 (Resample 1)</t>
  </si>
  <si>
    <t>Group C: n=100 (Resample 2)</t>
  </si>
  <si>
    <t>Group D: n=100 (Resample 3)</t>
  </si>
  <si>
    <t>Group E: n=100 (Resample 4)</t>
  </si>
  <si>
    <r>
      <rPr>
        <b/>
        <sz val="11"/>
        <color theme="1"/>
        <rFont val="Times New Roman"/>
        <charset val="134"/>
      </rPr>
      <t xml:space="preserve">Description:
</t>
    </r>
    <r>
      <rPr>
        <sz val="11"/>
        <color theme="1"/>
        <rFont val="Times New Roman"/>
        <charset val="134"/>
      </rPr>
      <t>In the original setting, we randomly sample 100 respondents from real WVS data for simulation and evaluation. 
To further assess the robustness of PSII with respect to sample selection, we additionally sample 400 more respondents and divide them into five groups of 100, and evaluate each group independently on Qwen-2.5-7B. 
For detailed sample information, please refer to the files data/WVS_Cross-National_Wave_7_csv_v6_0_500.csv and agent_profile/demographic/wvs_demographic_500.json in the anonymous repository.
The results are summarized in the table: the first five rows report KL divergence and entropy deviation for each group, while the last two rows present the mean and variance across groups for each metric. 
The results show that the mean performance is highly consistent across different groups, indicating that changing the sampled respondents does not materially affect the effectiveness of PSII. 
Moreover, each group consistently outperforms the baseline methods, demonstrating stable superiority. 
The variance across groups is below 0.03, and the overall variance across all questions is below 0.001, further confirming the robustness and stability of PSII under different sampling conditions.</t>
    </r>
  </si>
  <si>
    <t>Layer Sensitivity Analysis: Random Layer Selection, Global Layer Shifts (±2), and Single-Layer Injection</t>
  </si>
  <si>
    <t>Layer Setting</t>
  </si>
  <si>
    <t>Q-code to Layer Mapping</t>
  </si>
  <si>
    <t>L1: Optimal Layer Configuration (OLC)</t>
  </si>
  <si>
    <t>271:14, 285:14, 263:18, 289:18, 260:22, 273:22, 275:22, 279:22, 281:22, 284:22, 286:22, 287:22, 288:22</t>
  </si>
  <si>
    <t>L2: Random Layer Selection (1)</t>
  </si>
  <si>
    <t>271:17, 285:4, 263:21, 289:18, 260:26, 273:10, 275:24, 279:12, 281:9, 284:15, 286:16, 287:21, 288:2</t>
  </si>
  <si>
    <t>L3: Random Layer Selection (2)</t>
  </si>
  <si>
    <t>271:23, 285:6, 263:24, 289:2, 260:26, 273:25, 275:4, 279:20, 281:24, 284:6, 286:4, 287:5, 288:3</t>
  </si>
  <si>
    <t>L4: Global Layer Shift (+2 from OLC)</t>
  </si>
  <si>
    <t>271:16, 285:16, 263:20, 289:20, 260:24, 273:24, 275:24, 279:24, 281:24, 284:24, 286:24, 287:24, 288:24</t>
  </si>
  <si>
    <r>
      <rPr>
        <sz val="11"/>
        <color theme="1"/>
        <rFont val="Times New Roman"/>
        <charset val="134"/>
      </rPr>
      <t>L5: Global Layer Shift (</t>
    </r>
    <r>
      <rPr>
        <sz val="11"/>
        <color theme="1"/>
        <rFont val="宋体"/>
        <charset val="134"/>
      </rPr>
      <t>−</t>
    </r>
    <r>
      <rPr>
        <sz val="11"/>
        <color theme="1"/>
        <rFont val="Times New Roman"/>
        <charset val="134"/>
      </rPr>
      <t>2 from OLC)</t>
    </r>
  </si>
  <si>
    <t>271:12, 285:12, 263:16, 289:16, 260:20, 273:20, 275:20, 279:20, 281:20, 284:20, 286:20, 287:20, 288:20</t>
  </si>
  <si>
    <t>L6: Single-Layer Injection (50% depth)</t>
  </si>
  <si>
    <t>all:14</t>
  </si>
  <si>
    <t>L7: Single-Layer Injection (70% depth)</t>
  </si>
  <si>
    <t>all:20</t>
  </si>
  <si>
    <t>L8: Single-Layer Injection (80% depth)</t>
  </si>
  <si>
    <t>all:22</t>
  </si>
  <si>
    <r>
      <rPr>
        <b/>
        <sz val="11"/>
        <color theme="1"/>
        <rFont val="Times New Roman"/>
        <charset val="134"/>
      </rPr>
      <t>Description:</t>
    </r>
    <r>
      <rPr>
        <sz val="11"/>
        <color theme="1"/>
        <rFont val="Times New Roman"/>
        <charset val="134"/>
      </rPr>
      <t xml:space="preserve">
The reviewer raises a concern that the layer-wise design may be heuristic. 
In addition to the layer-wise ablation study in the original paper, we further conduct a more comprehensive layer sensitivity analysis. 
Specifically, PSII assigns an Optimal Layer Configuration (OLC) to each persona variable, categorizing them into low-, mid-, and high-level injection layers based on empirical performance. 
To validate the effectiveness of this design, we perform controlled experiments on Qwen-2.5-7B (28 layers) with the following settings: 
(1) Randomly assigning injection layers for each persona variable (two independent runs);
(2) Shifting all OLC layers by +2/-2;
(3) Fixing all variables to a single layer position (50%, 70%, or 80% of the network depth). 
The exact layer assignments for each variable (corresponding to WVS qcodes) are provided in the Q-code to Layer Mapping column. 
As shown in the table, the OLC setting achieves the best overall performance across all questions. 
The plus two and minus two configurations also perform reasonably well on some individual dimensions, likely because they remain close to the optimal layers. 
In contrast, other configurations, especially random assignments, perform significantly worse. 
These results indicate that layer-wise injection is not merely heuristic but necessary, as different persona vectors are most effective when injected at different depths of the model.</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</si>
</sst>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 "/>
    <numFmt numFmtId="177" formatCode="0.000000_ "/>
  </numFmts>
  <fonts count="26">
    <font>
      <sz val="11"/>
      <color theme="1"/>
      <name val="宋体"/>
      <charset val="134"/>
      <scheme val="minor"/>
    </font>
    <font>
      <sz val="11"/>
      <color theme="1"/>
      <name val="Times New Roman"/>
      <charset val="134"/>
    </font>
    <font>
      <b/>
      <sz val="12"/>
      <name val="Times New Roman"/>
      <charset val="134"/>
    </font>
    <font>
      <b/>
      <sz val="11"/>
      <color rgb="FFFF0000"/>
      <name val="Times New Roman"/>
      <charset val="134"/>
    </font>
    <font>
      <b/>
      <sz val="11"/>
      <color theme="1"/>
      <name val="Times New Roman"/>
      <charset val="134"/>
    </font>
    <font>
      <b/>
      <sz val="12"/>
      <color rgb="FF333333"/>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6">
    <fill>
      <patternFill patternType="none"/>
    </fill>
    <fill>
      <patternFill patternType="gray125"/>
    </fill>
    <fill>
      <patternFill patternType="solid">
        <fgColor theme="7" tint="0.799981688894314"/>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6" borderId="4" applyNumberFormat="0" applyAlignment="0" applyProtection="0">
      <alignment vertical="center"/>
    </xf>
    <xf numFmtId="0" fontId="15" fillId="7" borderId="5" applyNumberFormat="0" applyAlignment="0" applyProtection="0">
      <alignment vertical="center"/>
    </xf>
    <xf numFmtId="0" fontId="16" fillId="7" borderId="4" applyNumberFormat="0" applyAlignment="0" applyProtection="0">
      <alignment vertical="center"/>
    </xf>
    <xf numFmtId="0" fontId="17" fillId="8"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8">
    <xf numFmtId="0" fontId="0" fillId="0" borderId="0" xfId="0">
      <alignment vertical="center"/>
    </xf>
    <xf numFmtId="0" fontId="1" fillId="0" borderId="0" xfId="0" applyFont="1">
      <alignment vertical="center"/>
    </xf>
    <xf numFmtId="0" fontId="2" fillId="2" borderId="0" xfId="0" applyFont="1" applyFill="1" applyAlignment="1">
      <alignment horizontal="center" vertical="center"/>
    </xf>
    <xf numFmtId="0" fontId="1" fillId="0" borderId="0" xfId="0" applyFont="1" applyAlignment="1">
      <alignment horizontal="center" vertical="center"/>
    </xf>
    <xf numFmtId="176" fontId="1" fillId="0" borderId="0" xfId="0" applyNumberFormat="1" applyFont="1">
      <alignment vertical="center"/>
    </xf>
    <xf numFmtId="176" fontId="3" fillId="3" borderId="0" xfId="0" applyNumberFormat="1" applyFont="1" applyFill="1">
      <alignment vertical="center"/>
    </xf>
    <xf numFmtId="0" fontId="4"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xf numFmtId="177" fontId="4" fillId="3" borderId="0" xfId="0" applyNumberFormat="1" applyFont="1" applyFill="1">
      <alignment vertical="center"/>
    </xf>
    <xf numFmtId="0" fontId="5" fillId="2" borderId="0" xfId="0" applyFont="1" applyFill="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0" fontId="4" fillId="4" borderId="0" xfId="0" applyFont="1" applyFill="1" applyAlignment="1">
      <alignment horizontal="center" vertical="center"/>
    </xf>
    <xf numFmtId="0" fontId="4" fillId="0" borderId="0" xfId="0" applyFont="1" applyAlignment="1"/>
    <xf numFmtId="0" fontId="4" fillId="0" borderId="0" xfId="0" applyFont="1">
      <alignment vertical="center"/>
    </xf>
    <xf numFmtId="0" fontId="1" fillId="0" borderId="0" xfId="0" applyFont="1" applyAlignment="1">
      <alignment vertical="center" wrapText="1"/>
    </xf>
    <xf numFmtId="0" fontId="1"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0"/>
  <sheetViews>
    <sheetView tabSelected="1" zoomScale="110" zoomScaleNormal="110" workbookViewId="0">
      <selection activeCell="C26" sqref="C26"/>
    </sheetView>
  </sheetViews>
  <sheetFormatPr defaultColWidth="9.16346153846154" defaultRowHeight="16.8"/>
  <cols>
    <col min="1" max="1" width="13.5" style="1" customWidth="1"/>
    <col min="2" max="2" width="9.16346153846154" style="1"/>
    <col min="3" max="3" width="40.6634615384615" style="1" customWidth="1"/>
    <col min="4" max="13" width="13" style="1"/>
    <col min="14" max="16384" width="9.16346153846154" style="1"/>
  </cols>
  <sheetData>
    <row r="1" ht="17.6" spans="1:13">
      <c r="A1" s="10" t="s">
        <v>0</v>
      </c>
      <c r="B1" s="10"/>
      <c r="C1" s="10"/>
      <c r="D1" s="10"/>
      <c r="E1" s="10"/>
      <c r="F1" s="10"/>
      <c r="G1" s="10"/>
      <c r="H1" s="10"/>
      <c r="I1" s="10"/>
      <c r="J1" s="10"/>
      <c r="K1" s="10"/>
      <c r="L1" s="10"/>
      <c r="M1" s="10"/>
    </row>
    <row r="2" spans="1:13">
      <c r="A2" s="3" t="s">
        <v>1</v>
      </c>
      <c r="B2" s="3" t="s">
        <v>2</v>
      </c>
      <c r="C2" s="3" t="s">
        <v>3</v>
      </c>
      <c r="D2" s="3" t="s">
        <v>4</v>
      </c>
      <c r="E2" s="3"/>
      <c r="F2" s="3" t="s">
        <v>5</v>
      </c>
      <c r="G2" s="3"/>
      <c r="H2" s="3" t="s">
        <v>6</v>
      </c>
      <c r="I2" s="3"/>
      <c r="J2" s="3" t="s">
        <v>7</v>
      </c>
      <c r="K2" s="3"/>
      <c r="L2" s="3" t="s">
        <v>8</v>
      </c>
      <c r="M2" s="3"/>
    </row>
    <row r="3" spans="1:13">
      <c r="A3" s="3"/>
      <c r="B3" s="3"/>
      <c r="C3" s="3"/>
      <c r="D3" s="1" t="s">
        <v>9</v>
      </c>
      <c r="E3" s="1" t="s">
        <v>10</v>
      </c>
      <c r="F3" s="1" t="s">
        <v>9</v>
      </c>
      <c r="G3" s="1" t="s">
        <v>10</v>
      </c>
      <c r="H3" s="1" t="s">
        <v>9</v>
      </c>
      <c r="I3" s="1" t="s">
        <v>10</v>
      </c>
      <c r="J3" s="1" t="s">
        <v>9</v>
      </c>
      <c r="K3" s="1" t="s">
        <v>10</v>
      </c>
      <c r="L3" s="1" t="s">
        <v>9</v>
      </c>
      <c r="M3" s="1" t="s">
        <v>10</v>
      </c>
    </row>
    <row r="4" spans="1:13">
      <c r="A4" s="3" t="s">
        <v>11</v>
      </c>
      <c r="B4" s="3" t="s">
        <v>12</v>
      </c>
      <c r="C4" s="1" t="s">
        <v>13</v>
      </c>
      <c r="D4" s="4">
        <v>0.6772</v>
      </c>
      <c r="E4" s="4">
        <v>0.0989</v>
      </c>
      <c r="F4" s="4">
        <v>0.1862</v>
      </c>
      <c r="G4" s="4">
        <v>0.018</v>
      </c>
      <c r="H4" s="4">
        <v>0.9095</v>
      </c>
      <c r="I4" s="4">
        <v>0.015</v>
      </c>
      <c r="J4" s="4">
        <v>0.3094</v>
      </c>
      <c r="K4" s="4">
        <v>0.015</v>
      </c>
      <c r="L4" s="4">
        <v>0.4843</v>
      </c>
      <c r="M4" s="4">
        <v>0.0319</v>
      </c>
    </row>
    <row r="5" spans="1:13">
      <c r="A5" s="3"/>
      <c r="B5" s="3"/>
      <c r="C5" s="1" t="s">
        <v>14</v>
      </c>
      <c r="D5" s="4">
        <v>0.640931837517168</v>
      </c>
      <c r="E5" s="4">
        <v>0.0847143002001364</v>
      </c>
      <c r="F5" s="4">
        <v>0.172293508341699</v>
      </c>
      <c r="G5" s="4">
        <v>0.0176648120894146</v>
      </c>
      <c r="H5" s="4">
        <v>1.06232010434464</v>
      </c>
      <c r="I5" s="4">
        <v>0.0152090377351983</v>
      </c>
      <c r="J5" s="4">
        <v>0.545009382031354</v>
      </c>
      <c r="K5" s="4">
        <v>0.00436836281576158</v>
      </c>
      <c r="L5" s="4">
        <v>0.522113735960315</v>
      </c>
      <c r="M5" s="4">
        <v>0.0294265475055476</v>
      </c>
    </row>
    <row r="6" spans="1:13">
      <c r="A6" s="3"/>
      <c r="B6" s="3"/>
      <c r="C6" s="1" t="s">
        <v>15</v>
      </c>
      <c r="D6" s="4">
        <v>0.614750184170844</v>
      </c>
      <c r="E6" s="4">
        <v>0.0786735844940032</v>
      </c>
      <c r="F6" s="4">
        <v>0.192424526782852</v>
      </c>
      <c r="G6" s="4">
        <v>0.0165960426108441</v>
      </c>
      <c r="H6" s="4">
        <v>1.04294249381323</v>
      </c>
      <c r="I6" s="4">
        <v>0.00504372326084013</v>
      </c>
      <c r="J6" s="4">
        <v>0.390688852029511</v>
      </c>
      <c r="K6" s="4">
        <v>0.0152904318431314</v>
      </c>
      <c r="L6" s="4">
        <v>0.514230130706229</v>
      </c>
      <c r="M6" s="4">
        <v>0.024464590417953</v>
      </c>
    </row>
    <row r="7" spans="1:13">
      <c r="A7" s="3"/>
      <c r="B7" s="3"/>
      <c r="C7" s="1" t="s">
        <v>16</v>
      </c>
      <c r="D7" s="4">
        <v>0.720756594758324</v>
      </c>
      <c r="E7" s="4">
        <v>0.0811967365958218</v>
      </c>
      <c r="F7" s="4">
        <v>0.18626937022948</v>
      </c>
      <c r="G7" s="4">
        <v>0.00294206587035062</v>
      </c>
      <c r="H7" s="4">
        <v>0.880692035079702</v>
      </c>
      <c r="I7" s="4">
        <v>0.0029527604222096</v>
      </c>
      <c r="J7" s="4">
        <v>0.372797458037148</v>
      </c>
      <c r="K7" s="4">
        <v>0.0250594559782302</v>
      </c>
      <c r="L7" s="4">
        <v>0.488388891949857</v>
      </c>
      <c r="M7" s="4">
        <v>0.0173442496863491</v>
      </c>
    </row>
    <row r="8" spans="1:13">
      <c r="A8" s="3"/>
      <c r="B8" s="3"/>
      <c r="C8" s="1" t="s">
        <v>17</v>
      </c>
      <c r="D8" s="4">
        <v>0.640566743374854</v>
      </c>
      <c r="E8" s="4">
        <v>0.0813367289397831</v>
      </c>
      <c r="F8" s="4">
        <v>0.192894724133451</v>
      </c>
      <c r="G8" s="4">
        <v>0.00341329006384483</v>
      </c>
      <c r="H8" s="4">
        <v>0.982480667666683</v>
      </c>
      <c r="I8" s="4">
        <v>0.00950752325396909</v>
      </c>
      <c r="J8" s="4">
        <v>0.308590257165312</v>
      </c>
      <c r="K8" s="4">
        <v>0.0130911585316742</v>
      </c>
      <c r="L8" s="4">
        <v>0.499672714446351</v>
      </c>
      <c r="M8" s="4">
        <v>0.0148250350420664</v>
      </c>
    </row>
    <row r="9" spans="1:13">
      <c r="C9" s="1" t="s">
        <v>18</v>
      </c>
      <c r="D9" s="9">
        <f>AVERAGE(D4:D8)</f>
        <v>0.658841071964238</v>
      </c>
      <c r="E9" s="9">
        <f t="shared" ref="E9:M9" si="0">AVERAGE(E4:E8)</f>
        <v>0.0849642700459489</v>
      </c>
      <c r="F9" s="9">
        <f t="shared" si="0"/>
        <v>0.186016425897496</v>
      </c>
      <c r="G9" s="9">
        <f t="shared" si="0"/>
        <v>0.0117232421268908</v>
      </c>
      <c r="H9" s="9">
        <f t="shared" si="0"/>
        <v>0.975587060180849</v>
      </c>
      <c r="I9" s="9">
        <f t="shared" si="0"/>
        <v>0.00954260893444343</v>
      </c>
      <c r="J9" s="9">
        <f t="shared" si="0"/>
        <v>0.385297189852665</v>
      </c>
      <c r="K9" s="9">
        <f t="shared" si="0"/>
        <v>0.0145618818337595</v>
      </c>
      <c r="L9" s="9">
        <f t="shared" si="0"/>
        <v>0.50174109461255</v>
      </c>
      <c r="M9" s="9">
        <f t="shared" si="0"/>
        <v>0.0235920845303832</v>
      </c>
    </row>
    <row r="10" spans="1:13">
      <c r="C10" s="1" t="s">
        <v>19</v>
      </c>
      <c r="D10" s="9">
        <f>VAR(D4:D8)</f>
        <v>0.00169232008794248</v>
      </c>
      <c r="E10" s="9">
        <f t="shared" ref="E10:M10" si="1">VAR(E4:E8)</f>
        <v>6.52982854410651e-5</v>
      </c>
      <c r="F10" s="9">
        <f t="shared" si="1"/>
        <v>6.91977225272593e-5</v>
      </c>
      <c r="G10" s="9">
        <f t="shared" si="1"/>
        <v>6.11521218280416e-5</v>
      </c>
      <c r="H10" s="9">
        <f t="shared" si="1"/>
        <v>0.00636986563154654</v>
      </c>
      <c r="I10" s="9">
        <f t="shared" si="1"/>
        <v>3.13897098299398e-5</v>
      </c>
      <c r="J10" s="9">
        <f t="shared" si="1"/>
        <v>0.00933440864921127</v>
      </c>
      <c r="K10" s="9">
        <f t="shared" si="1"/>
        <v>5.4248163140997e-5</v>
      </c>
      <c r="L10" s="9">
        <f t="shared" si="1"/>
        <v>0.000264442957943838</v>
      </c>
      <c r="M10" s="9">
        <f t="shared" si="1"/>
        <v>5.49300702879072e-5</v>
      </c>
    </row>
    <row r="12" ht="178" customHeight="1" spans="1:13">
      <c r="A12" s="6" t="s">
        <v>20</v>
      </c>
      <c r="B12" s="17"/>
      <c r="C12" s="17"/>
      <c r="D12" s="17"/>
      <c r="E12" s="17"/>
      <c r="F12" s="17"/>
      <c r="G12" s="17"/>
      <c r="H12" s="17"/>
      <c r="I12" s="17"/>
      <c r="J12" s="17"/>
      <c r="K12" s="17"/>
      <c r="L12" s="17"/>
      <c r="M12" s="17"/>
    </row>
    <row r="13" spans="1:13">
      <c r="E13" s="4"/>
      <c r="G13" s="4"/>
      <c r="I13" s="4"/>
      <c r="K13" s="4"/>
      <c r="M13" s="4"/>
    </row>
    <row r="14" spans="1:13">
      <c r="E14" s="4"/>
      <c r="F14" s="4"/>
      <c r="G14" s="4"/>
      <c r="H14" s="4"/>
      <c r="I14" s="4"/>
    </row>
    <row r="15" spans="1:13">
      <c r="E15" s="4"/>
      <c r="F15" s="4"/>
      <c r="G15" s="4"/>
      <c r="H15" s="4"/>
      <c r="I15" s="4"/>
    </row>
    <row r="16" spans="1:13">
      <c r="E16" s="4"/>
      <c r="F16" s="4"/>
      <c r="G16" s="4"/>
      <c r="H16" s="4"/>
      <c r="I16" s="4"/>
    </row>
    <row r="17" spans="4:13">
      <c r="E17" s="4"/>
      <c r="F17" s="4"/>
      <c r="G17" s="4"/>
      <c r="H17" s="4"/>
      <c r="I17" s="4"/>
    </row>
    <row r="19" spans="4:13">
      <c r="D19" s="8"/>
      <c r="E19" s="8"/>
      <c r="F19" s="8"/>
      <c r="G19" s="8"/>
      <c r="H19" s="8"/>
      <c r="I19" s="8"/>
      <c r="J19" s="8"/>
      <c r="K19" s="8"/>
      <c r="L19" s="8"/>
      <c r="M19" s="8"/>
    </row>
    <row r="20" spans="4:13">
      <c r="D20" s="8"/>
      <c r="E20" s="8"/>
      <c r="F20" s="8"/>
      <c r="G20" s="8"/>
      <c r="H20" s="8"/>
      <c r="I20" s="8"/>
      <c r="J20" s="8"/>
      <c r="K20" s="8"/>
      <c r="L20" s="8"/>
      <c r="M20" s="8"/>
    </row>
    <row r="21" spans="4:13">
      <c r="D21" s="8"/>
      <c r="E21" s="8"/>
      <c r="F21" s="8"/>
      <c r="G21" s="8"/>
      <c r="H21" s="8"/>
      <c r="I21" s="8"/>
      <c r="J21" s="8"/>
      <c r="K21" s="8"/>
      <c r="L21" s="8"/>
      <c r="M21" s="8"/>
    </row>
    <row r="22" spans="4:13">
      <c r="D22" s="8"/>
      <c r="E22" s="8"/>
      <c r="F22" s="8"/>
      <c r="G22" s="8"/>
      <c r="H22" s="8"/>
      <c r="I22" s="8"/>
      <c r="J22" s="8"/>
      <c r="K22" s="8"/>
      <c r="L22" s="8"/>
      <c r="M22" s="8"/>
    </row>
    <row r="23" spans="4:13">
      <c r="E23" s="4"/>
      <c r="F23" s="4"/>
      <c r="G23" s="4"/>
      <c r="H23" s="4"/>
      <c r="I23" s="4"/>
    </row>
    <row r="24" spans="4:13">
      <c r="E24" s="4"/>
      <c r="F24" s="4"/>
      <c r="G24" s="4"/>
      <c r="H24" s="4"/>
      <c r="I24" s="4"/>
    </row>
    <row r="25" spans="4:13">
      <c r="E25" s="4"/>
      <c r="F25" s="4"/>
      <c r="G25" s="4"/>
      <c r="H25" s="4"/>
      <c r="I25" s="4"/>
    </row>
    <row r="30" spans="4:13">
      <c r="E30" s="4"/>
      <c r="F30" s="4"/>
      <c r="G30" s="4"/>
      <c r="H30" s="4"/>
      <c r="I30" s="4"/>
    </row>
    <row r="31" spans="4:13">
      <c r="E31" s="4"/>
      <c r="F31" s="4"/>
      <c r="G31" s="4"/>
      <c r="H31" s="4"/>
      <c r="I31" s="4"/>
    </row>
    <row r="32" spans="4:13">
      <c r="E32" s="4"/>
      <c r="F32" s="4"/>
      <c r="G32" s="4"/>
      <c r="H32" s="4"/>
      <c r="I32" s="4"/>
    </row>
    <row r="33" spans="5:9">
      <c r="E33" s="4"/>
      <c r="F33" s="4"/>
      <c r="G33" s="4"/>
      <c r="H33" s="4"/>
      <c r="I33" s="4"/>
    </row>
    <row r="34" spans="5:9">
      <c r="E34" s="4"/>
      <c r="F34" s="4"/>
      <c r="G34" s="4"/>
      <c r="H34" s="4"/>
      <c r="I34" s="4"/>
    </row>
    <row r="35" spans="5:9">
      <c r="E35" s="4"/>
      <c r="F35" s="4"/>
      <c r="G35" s="4"/>
      <c r="H35" s="4"/>
      <c r="I35" s="4"/>
    </row>
    <row r="36" spans="5:9">
      <c r="E36" s="4"/>
      <c r="F36" s="4"/>
      <c r="G36" s="4"/>
      <c r="H36" s="4"/>
      <c r="I36" s="4"/>
    </row>
    <row r="37" spans="5:9">
      <c r="E37" s="4"/>
      <c r="F37" s="4"/>
      <c r="G37" s="4"/>
      <c r="H37" s="4"/>
      <c r="I37" s="4"/>
    </row>
    <row r="38" spans="5:9">
      <c r="E38" s="4"/>
      <c r="F38" s="4"/>
      <c r="G38" s="4"/>
      <c r="H38" s="4"/>
      <c r="I38" s="4"/>
    </row>
    <row r="39" spans="5:9">
      <c r="E39" s="4"/>
      <c r="F39" s="4"/>
      <c r="G39" s="4"/>
      <c r="H39" s="4"/>
      <c r="I39" s="4"/>
    </row>
    <row r="40" spans="5:9">
      <c r="E40" s="4"/>
      <c r="F40" s="4"/>
      <c r="G40" s="4"/>
      <c r="H40" s="4"/>
      <c r="I40" s="4"/>
    </row>
  </sheetData>
  <mergeCells count="12">
    <mergeCell ref="A1:M1"/>
    <mergeCell ref="D2:E2"/>
    <mergeCell ref="F2:G2"/>
    <mergeCell ref="H2:I2"/>
    <mergeCell ref="J2:K2"/>
    <mergeCell ref="L2:M2"/>
    <mergeCell ref="A12:M12"/>
    <mergeCell ref="A2:A3"/>
    <mergeCell ref="A4:A8"/>
    <mergeCell ref="B2:B3"/>
    <mergeCell ref="B4:B8"/>
    <mergeCell ref="C2:C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52"/>
  <sheetViews>
    <sheetView zoomScale="120" zoomScaleNormal="120" workbookViewId="0">
      <selection activeCell="I25" sqref="I25"/>
    </sheetView>
  </sheetViews>
  <sheetFormatPr defaultColWidth="9.16346153846154" defaultRowHeight="16.8"/>
  <cols>
    <col min="1" max="1" width="35.3365384615385" style="1" customWidth="1"/>
    <col min="2" max="2" width="13.6634615384615" style="1" customWidth="1"/>
    <col min="3" max="3" width="13" style="1" customWidth="1"/>
    <col min="4" max="4" width="14.1634615384615" style="1" customWidth="1"/>
    <col min="5" max="5" width="13.8365384615385" style="1" customWidth="1"/>
    <col min="6" max="6" width="14.1634615384615" style="1" customWidth="1"/>
    <col min="7" max="8" width="10.6634615384615" style="1"/>
    <col min="9" max="9" width="9.66346153846154" style="1"/>
    <col min="10" max="12" width="10.6634615384615" style="1"/>
    <col min="13" max="17" width="9.16346153846154" style="1"/>
    <col min="18" max="20" width="9.66346153846154" style="1"/>
    <col min="21" max="16384" width="9.16346153846154" style="1"/>
  </cols>
  <sheetData>
    <row r="1" ht="17.6" spans="1:12">
      <c r="A1" s="10" t="s">
        <v>21</v>
      </c>
      <c r="B1" s="10"/>
      <c r="C1" s="10"/>
      <c r="D1" s="10"/>
      <c r="E1" s="10"/>
      <c r="F1" s="10"/>
      <c r="G1" s="10"/>
      <c r="H1" s="10"/>
      <c r="I1" s="10"/>
      <c r="J1" s="10"/>
      <c r="K1" s="10"/>
      <c r="L1" s="10"/>
    </row>
    <row r="3" ht="230" customHeight="1" spans="1:12">
      <c r="A3" s="6" t="s">
        <v>22</v>
      </c>
      <c r="B3" s="11"/>
      <c r="C3" s="11"/>
      <c r="D3" s="11"/>
      <c r="E3" s="11"/>
      <c r="F3" s="11"/>
      <c r="G3" s="11"/>
      <c r="H3" s="11"/>
      <c r="I3" s="11"/>
      <c r="J3" s="11"/>
      <c r="K3" s="11"/>
      <c r="L3" s="11"/>
    </row>
    <row r="4" spans="1:12">
      <c r="A4" s="12"/>
      <c r="B4" s="12"/>
      <c r="C4" s="12"/>
      <c r="D4" s="12"/>
      <c r="E4" s="12"/>
      <c r="F4" s="12"/>
      <c r="G4" s="12"/>
      <c r="H4" s="12"/>
      <c r="I4" s="12"/>
      <c r="J4" s="12"/>
      <c r="K4" s="12"/>
      <c r="L4" s="12"/>
    </row>
    <row r="5" spans="1:12">
      <c r="A5" s="13" t="s">
        <v>23</v>
      </c>
      <c r="B5" s="13"/>
      <c r="C5" s="13"/>
      <c r="D5" s="13"/>
      <c r="E5" s="13"/>
      <c r="F5" s="13"/>
      <c r="G5" s="13"/>
      <c r="H5" s="13"/>
      <c r="I5" s="13"/>
      <c r="J5" s="13"/>
      <c r="K5" s="13"/>
      <c r="L5" s="13"/>
    </row>
    <row r="6" spans="1:12">
      <c r="A6" s="14" t="s">
        <v>3</v>
      </c>
      <c r="B6" s="14" t="s">
        <v>24</v>
      </c>
      <c r="C6" s="14" t="s">
        <v>25</v>
      </c>
      <c r="D6" s="14" t="s">
        <v>26</v>
      </c>
      <c r="E6" s="14" t="s">
        <v>27</v>
      </c>
      <c r="F6" s="14" t="s">
        <v>28</v>
      </c>
      <c r="G6" s="14" t="s">
        <v>29</v>
      </c>
      <c r="H6" s="14" t="s">
        <v>30</v>
      </c>
      <c r="I6" s="14" t="s">
        <v>31</v>
      </c>
      <c r="J6" s="14" t="s">
        <v>32</v>
      </c>
      <c r="K6" s="14" t="s">
        <v>33</v>
      </c>
      <c r="L6" s="14" t="s">
        <v>34</v>
      </c>
    </row>
    <row r="7" spans="1:12">
      <c r="A7" s="14" t="s">
        <v>24</v>
      </c>
      <c r="B7" s="8">
        <v>1</v>
      </c>
      <c r="C7" s="8">
        <v>0.884173</v>
      </c>
      <c r="D7" s="8">
        <v>0.86563</v>
      </c>
      <c r="E7" s="8">
        <v>0.877393</v>
      </c>
      <c r="F7" s="8">
        <v>0.871517</v>
      </c>
      <c r="G7" s="8">
        <v>0.877796</v>
      </c>
      <c r="H7" s="8">
        <v>0.875598</v>
      </c>
      <c r="I7" s="8">
        <v>0.871847</v>
      </c>
      <c r="J7" s="8">
        <v>0.878844</v>
      </c>
      <c r="K7" s="8">
        <v>0.876464</v>
      </c>
      <c r="L7" s="8">
        <v>0.86309</v>
      </c>
    </row>
    <row r="8" spans="1:12">
      <c r="A8" s="14" t="s">
        <v>25</v>
      </c>
      <c r="B8" s="8">
        <v>0.884173</v>
      </c>
      <c r="C8" s="8">
        <v>1</v>
      </c>
      <c r="D8" s="8">
        <v>0.945748</v>
      </c>
      <c r="E8" s="8">
        <v>0.942586</v>
      </c>
      <c r="F8" s="8">
        <v>0.952271</v>
      </c>
      <c r="G8" s="8">
        <v>0.922218</v>
      </c>
      <c r="H8" s="8">
        <v>0.936585</v>
      </c>
      <c r="I8" s="8">
        <v>0.940782</v>
      </c>
      <c r="J8" s="8">
        <v>0.946706</v>
      </c>
      <c r="K8" s="8">
        <v>0.947994</v>
      </c>
      <c r="L8" s="8">
        <v>0.917816</v>
      </c>
    </row>
    <row r="9" spans="1:12">
      <c r="A9" s="14" t="s">
        <v>26</v>
      </c>
      <c r="B9" s="8">
        <v>0.86563</v>
      </c>
      <c r="C9" s="8">
        <v>0.945748</v>
      </c>
      <c r="D9" s="8">
        <v>1</v>
      </c>
      <c r="E9" s="8">
        <v>0.945236</v>
      </c>
      <c r="F9" s="8">
        <v>0.95316</v>
      </c>
      <c r="G9" s="8">
        <v>0.923417</v>
      </c>
      <c r="H9" s="8">
        <v>0.934653</v>
      </c>
      <c r="I9" s="8">
        <v>0.955856</v>
      </c>
      <c r="J9" s="8">
        <v>0.95097</v>
      </c>
      <c r="K9" s="8">
        <v>0.958027</v>
      </c>
      <c r="L9" s="8">
        <v>0.907853</v>
      </c>
    </row>
    <row r="10" spans="1:12">
      <c r="A10" s="14" t="s">
        <v>27</v>
      </c>
      <c r="B10" s="8">
        <v>0.877393</v>
      </c>
      <c r="C10" s="8">
        <v>0.942586</v>
      </c>
      <c r="D10" s="8">
        <v>0.945236</v>
      </c>
      <c r="E10" s="8">
        <v>1</v>
      </c>
      <c r="F10" s="8">
        <v>0.947179</v>
      </c>
      <c r="G10" s="8">
        <v>0.930409</v>
      </c>
      <c r="H10" s="8">
        <v>0.951872</v>
      </c>
      <c r="I10" s="8">
        <v>0.952414</v>
      </c>
      <c r="J10" s="8">
        <v>0.945547</v>
      </c>
      <c r="K10" s="8">
        <v>0.952514</v>
      </c>
      <c r="L10" s="8">
        <v>0.907704</v>
      </c>
    </row>
    <row r="11" spans="1:12">
      <c r="A11" s="14" t="s">
        <v>28</v>
      </c>
      <c r="B11" s="8">
        <v>0.871517</v>
      </c>
      <c r="C11" s="8">
        <v>0.952271</v>
      </c>
      <c r="D11" s="8">
        <v>0.95316</v>
      </c>
      <c r="E11" s="8">
        <v>0.947179</v>
      </c>
      <c r="F11" s="8">
        <v>1</v>
      </c>
      <c r="G11" s="8">
        <v>0.92672</v>
      </c>
      <c r="H11" s="8">
        <v>0.953186</v>
      </c>
      <c r="I11" s="8">
        <v>0.94694</v>
      </c>
      <c r="J11" s="8">
        <v>0.95375</v>
      </c>
      <c r="K11" s="8">
        <v>0.957708</v>
      </c>
      <c r="L11" s="8">
        <v>0.915288</v>
      </c>
    </row>
    <row r="12" spans="1:12">
      <c r="A12" s="14" t="s">
        <v>29</v>
      </c>
      <c r="B12" s="8">
        <v>0.877796</v>
      </c>
      <c r="C12" s="8">
        <v>0.922218</v>
      </c>
      <c r="D12" s="8">
        <v>0.923417</v>
      </c>
      <c r="E12" s="8">
        <v>0.930409</v>
      </c>
      <c r="F12" s="8">
        <v>0.92672</v>
      </c>
      <c r="G12" s="8">
        <v>1</v>
      </c>
      <c r="H12" s="8">
        <v>0.937416</v>
      </c>
      <c r="I12" s="8">
        <v>0.921437</v>
      </c>
      <c r="J12" s="8">
        <v>0.92658</v>
      </c>
      <c r="K12" s="8">
        <v>0.92516</v>
      </c>
      <c r="L12" s="8">
        <v>0.9045</v>
      </c>
    </row>
    <row r="13" spans="1:12">
      <c r="A13" s="14" t="s">
        <v>30</v>
      </c>
      <c r="B13" s="8">
        <v>0.875598</v>
      </c>
      <c r="C13" s="8">
        <v>0.936585</v>
      </c>
      <c r="D13" s="8">
        <v>0.934653</v>
      </c>
      <c r="E13" s="8">
        <v>0.951872</v>
      </c>
      <c r="F13" s="8">
        <v>0.953186</v>
      </c>
      <c r="G13" s="8">
        <v>0.937416</v>
      </c>
      <c r="H13" s="8">
        <v>1</v>
      </c>
      <c r="I13" s="8">
        <v>0.933855</v>
      </c>
      <c r="J13" s="8">
        <v>0.941304</v>
      </c>
      <c r="K13" s="8">
        <v>0.937057</v>
      </c>
      <c r="L13" s="8">
        <v>0.902126</v>
      </c>
    </row>
    <row r="14" spans="1:12">
      <c r="A14" s="14" t="s">
        <v>31</v>
      </c>
      <c r="B14" s="8">
        <v>0.871847</v>
      </c>
      <c r="C14" s="8">
        <v>0.940782</v>
      </c>
      <c r="D14" s="8">
        <v>0.955856</v>
      </c>
      <c r="E14" s="8">
        <v>0.952414</v>
      </c>
      <c r="F14" s="8">
        <v>0.94694</v>
      </c>
      <c r="G14" s="8">
        <v>0.921437</v>
      </c>
      <c r="H14" s="8">
        <v>0.933855</v>
      </c>
      <c r="I14" s="8">
        <v>1</v>
      </c>
      <c r="J14" s="8">
        <v>0.966907</v>
      </c>
      <c r="K14" s="8">
        <v>0.964594</v>
      </c>
      <c r="L14" s="8">
        <v>0.902358</v>
      </c>
    </row>
    <row r="15" spans="1:12">
      <c r="A15" s="14" t="s">
        <v>32</v>
      </c>
      <c r="B15" s="8">
        <v>0.878844</v>
      </c>
      <c r="C15" s="8">
        <v>0.946706</v>
      </c>
      <c r="D15" s="8">
        <v>0.95097</v>
      </c>
      <c r="E15" s="8">
        <v>0.945547</v>
      </c>
      <c r="F15" s="8">
        <v>0.95375</v>
      </c>
      <c r="G15" s="8">
        <v>0.92658</v>
      </c>
      <c r="H15" s="8">
        <v>0.941304</v>
      </c>
      <c r="I15" s="8">
        <v>0.966907</v>
      </c>
      <c r="J15" s="8">
        <v>1</v>
      </c>
      <c r="K15" s="8">
        <v>0.966012</v>
      </c>
      <c r="L15" s="8">
        <v>0.910682</v>
      </c>
    </row>
    <row r="16" spans="1:12">
      <c r="A16" s="14" t="s">
        <v>33</v>
      </c>
      <c r="B16" s="8">
        <v>0.876464</v>
      </c>
      <c r="C16" s="8">
        <v>0.947994</v>
      </c>
      <c r="D16" s="8">
        <v>0.958027</v>
      </c>
      <c r="E16" s="8">
        <v>0.952514</v>
      </c>
      <c r="F16" s="8">
        <v>0.957708</v>
      </c>
      <c r="G16" s="8">
        <v>0.92516</v>
      </c>
      <c r="H16" s="8">
        <v>0.937057</v>
      </c>
      <c r="I16" s="8">
        <v>0.964594</v>
      </c>
      <c r="J16" s="8">
        <v>0.966012</v>
      </c>
      <c r="K16" s="8">
        <v>1</v>
      </c>
      <c r="L16" s="8">
        <v>0.911369</v>
      </c>
    </row>
    <row r="17" spans="1:12">
      <c r="A17" s="14" t="s">
        <v>34</v>
      </c>
      <c r="B17" s="8">
        <v>0.86309</v>
      </c>
      <c r="C17" s="8">
        <v>0.917816</v>
      </c>
      <c r="D17" s="8">
        <v>0.907853</v>
      </c>
      <c r="E17" s="8">
        <v>0.907704</v>
      </c>
      <c r="F17" s="8">
        <v>0.915288</v>
      </c>
      <c r="G17" s="8">
        <v>0.9045</v>
      </c>
      <c r="H17" s="8">
        <v>0.902126</v>
      </c>
      <c r="I17" s="8">
        <v>0.902358</v>
      </c>
      <c r="J17" s="8">
        <v>0.910682</v>
      </c>
      <c r="K17" s="8">
        <v>0.911369</v>
      </c>
      <c r="L17" s="8">
        <v>1</v>
      </c>
    </row>
    <row r="18" spans="1:12">
      <c r="A18" s="15" t="s">
        <v>18</v>
      </c>
      <c r="B18" s="1">
        <f>AVERAGE(B8:B17)</f>
        <v>0.8742352</v>
      </c>
      <c r="C18" s="1">
        <f>AVERAGE(C7,C9:C17)</f>
        <v>0.9336879</v>
      </c>
      <c r="D18" s="1">
        <f>AVERAGE(D7:D8,D10:D17)</f>
        <v>0.934055</v>
      </c>
      <c r="E18" s="1">
        <f>AVERAGE(E7:E9,E11:E17)</f>
        <v>0.9352854</v>
      </c>
      <c r="F18" s="1">
        <f>AVERAGE(F7:F10,F12:F17)</f>
        <v>0.9377719</v>
      </c>
      <c r="G18" s="1">
        <f>AVERAGE(G7:G11,G13:G17)</f>
        <v>0.9195653</v>
      </c>
      <c r="H18" s="1">
        <f>AVERAGE(H7:H12,H14:H17)</f>
        <v>0.9303652</v>
      </c>
      <c r="I18" s="1">
        <f>AVERAGE(I7:I13,I15:I17)</f>
        <v>0.935699</v>
      </c>
      <c r="J18" s="1">
        <f>AVERAGE(J7:J14,J16:J17)</f>
        <v>0.9387302</v>
      </c>
      <c r="K18" s="1">
        <f>AVERAGE(K17,K7:K15)</f>
        <v>0.9396899</v>
      </c>
      <c r="L18" s="1">
        <f>AVERAGE(L7:L16)</f>
        <v>0.9042786</v>
      </c>
    </row>
    <row r="20" spans="1:12">
      <c r="A20" s="13" t="s">
        <v>35</v>
      </c>
      <c r="B20" s="13"/>
      <c r="C20" s="13"/>
      <c r="D20" s="13"/>
      <c r="E20" s="13"/>
      <c r="F20" s="13"/>
      <c r="H20" s="16"/>
      <c r="I20" s="16"/>
      <c r="J20" s="16"/>
      <c r="K20" s="16"/>
      <c r="L20" s="16"/>
    </row>
    <row r="21" spans="1:12">
      <c r="A21" s="14" t="s">
        <v>36</v>
      </c>
      <c r="B21" s="14" t="s">
        <v>37</v>
      </c>
      <c r="C21" s="14" t="s">
        <v>38</v>
      </c>
      <c r="D21" s="14" t="s">
        <v>39</v>
      </c>
      <c r="E21" s="14" t="s">
        <v>40</v>
      </c>
      <c r="F21" s="14" t="s">
        <v>41</v>
      </c>
      <c r="H21" s="16"/>
      <c r="I21" s="16"/>
      <c r="J21" s="16"/>
      <c r="K21" s="16"/>
      <c r="L21" s="16"/>
    </row>
    <row r="22" spans="1:12">
      <c r="A22" s="8" t="s">
        <v>42</v>
      </c>
      <c r="B22" s="8">
        <v>11</v>
      </c>
      <c r="C22" s="8">
        <v>55</v>
      </c>
      <c r="D22" s="8">
        <v>0.88217</v>
      </c>
      <c r="E22" s="8">
        <v>0.643758</v>
      </c>
      <c r="F22" s="8">
        <v>0.978732</v>
      </c>
      <c r="H22" s="16"/>
      <c r="I22" s="16"/>
      <c r="J22" s="16"/>
      <c r="K22" s="16"/>
      <c r="L22" s="16"/>
    </row>
    <row r="23" spans="1:12">
      <c r="A23" s="8" t="s">
        <v>43</v>
      </c>
      <c r="B23" s="8">
        <v>11</v>
      </c>
      <c r="C23" s="8">
        <v>55</v>
      </c>
      <c r="D23" s="8">
        <v>0.869451</v>
      </c>
      <c r="E23" s="8">
        <v>0.784716</v>
      </c>
      <c r="F23" s="8">
        <v>0.961678</v>
      </c>
      <c r="H23" s="16"/>
      <c r="I23" s="16"/>
      <c r="J23" s="16"/>
      <c r="K23" s="16"/>
      <c r="L23" s="16"/>
    </row>
    <row r="24" spans="1:12">
      <c r="A24" s="8" t="s">
        <v>44</v>
      </c>
      <c r="B24" s="8">
        <v>11</v>
      </c>
      <c r="C24" s="8">
        <v>55</v>
      </c>
      <c r="D24" s="8">
        <v>0.924062</v>
      </c>
      <c r="E24" s="8">
        <v>0.839417</v>
      </c>
      <c r="F24" s="8">
        <v>0.982145</v>
      </c>
      <c r="H24" s="16"/>
      <c r="I24" s="16"/>
      <c r="J24" s="16"/>
      <c r="K24" s="16"/>
      <c r="L24" s="16"/>
    </row>
    <row r="25" spans="1:12">
      <c r="A25" s="8" t="s">
        <v>45</v>
      </c>
      <c r="B25" s="8">
        <v>11</v>
      </c>
      <c r="C25" s="8">
        <v>55</v>
      </c>
      <c r="D25" s="8">
        <v>0.91059</v>
      </c>
      <c r="E25" s="8">
        <v>0.746767</v>
      </c>
      <c r="F25" s="8">
        <v>0.987206</v>
      </c>
      <c r="H25" s="16"/>
      <c r="I25" s="16"/>
      <c r="J25" s="16"/>
      <c r="K25" s="16"/>
      <c r="L25" s="16"/>
    </row>
    <row r="26" spans="1:12">
      <c r="A26" s="8" t="s">
        <v>46</v>
      </c>
      <c r="B26" s="8">
        <v>11</v>
      </c>
      <c r="C26" s="8">
        <v>55</v>
      </c>
      <c r="D26" s="8">
        <v>0.922302</v>
      </c>
      <c r="E26" s="8">
        <v>0.793496</v>
      </c>
      <c r="F26" s="8">
        <v>0.98055</v>
      </c>
      <c r="H26" s="16"/>
      <c r="I26" s="16"/>
      <c r="J26" s="16"/>
      <c r="K26" s="16"/>
      <c r="L26" s="16"/>
    </row>
    <row r="27" spans="1:12">
      <c r="A27" s="8" t="s">
        <v>47</v>
      </c>
      <c r="B27" s="8">
        <v>11</v>
      </c>
      <c r="C27" s="8">
        <v>55</v>
      </c>
      <c r="D27" s="8">
        <v>0.950726</v>
      </c>
      <c r="E27" s="8">
        <v>0.883647</v>
      </c>
      <c r="F27" s="8">
        <v>0.983215</v>
      </c>
      <c r="H27" s="16"/>
      <c r="I27" s="16"/>
      <c r="J27" s="16"/>
      <c r="K27" s="16"/>
      <c r="L27" s="16"/>
    </row>
    <row r="28" spans="1:12">
      <c r="A28" s="8" t="s">
        <v>48</v>
      </c>
      <c r="B28" s="8">
        <v>11</v>
      </c>
      <c r="C28" s="8">
        <v>55</v>
      </c>
      <c r="D28" s="8">
        <v>0.936738</v>
      </c>
      <c r="E28" s="8">
        <v>0.89511</v>
      </c>
      <c r="F28" s="8">
        <v>0.980832</v>
      </c>
      <c r="H28" s="16"/>
      <c r="I28" s="16"/>
      <c r="J28" s="16"/>
      <c r="K28" s="16"/>
      <c r="L28" s="16"/>
    </row>
    <row r="29" spans="1:12">
      <c r="A29" s="8" t="s">
        <v>49</v>
      </c>
      <c r="B29" s="8">
        <v>11</v>
      </c>
      <c r="C29" s="8">
        <v>55</v>
      </c>
      <c r="D29" s="8">
        <v>0.952012</v>
      </c>
      <c r="E29" s="8">
        <v>0.890614</v>
      </c>
      <c r="F29" s="8">
        <v>0.981334</v>
      </c>
      <c r="H29" s="16"/>
      <c r="I29" s="16"/>
      <c r="J29" s="16"/>
      <c r="K29" s="16"/>
      <c r="L29" s="16"/>
    </row>
    <row r="30" spans="1:12">
      <c r="A30" s="8" t="s">
        <v>50</v>
      </c>
      <c r="B30" s="8">
        <v>11</v>
      </c>
      <c r="C30" s="8">
        <v>55</v>
      </c>
      <c r="D30" s="8">
        <v>0.919937</v>
      </c>
      <c r="E30" s="8">
        <v>0.878733</v>
      </c>
      <c r="F30" s="8">
        <v>0.978657</v>
      </c>
      <c r="H30" s="16"/>
      <c r="I30" s="16"/>
      <c r="J30" s="16"/>
      <c r="K30" s="16"/>
      <c r="L30" s="16"/>
    </row>
    <row r="31" spans="1:12">
      <c r="A31" s="8" t="s">
        <v>51</v>
      </c>
      <c r="B31" s="8">
        <v>11</v>
      </c>
      <c r="C31" s="8">
        <v>55</v>
      </c>
      <c r="D31" s="8">
        <v>0.942274</v>
      </c>
      <c r="E31" s="8">
        <v>0.871432</v>
      </c>
      <c r="F31" s="8">
        <v>0.982581</v>
      </c>
      <c r="H31" s="16"/>
      <c r="I31" s="16"/>
      <c r="J31" s="16"/>
      <c r="K31" s="16"/>
      <c r="L31" s="16"/>
    </row>
    <row r="32" spans="1:12">
      <c r="A32" s="8" t="s">
        <v>52</v>
      </c>
      <c r="B32" s="8">
        <v>11</v>
      </c>
      <c r="C32" s="8">
        <v>55</v>
      </c>
      <c r="D32" s="8">
        <v>0.94394</v>
      </c>
      <c r="E32" s="8">
        <v>0.861091</v>
      </c>
      <c r="F32" s="8">
        <v>0.986627</v>
      </c>
      <c r="H32" s="16"/>
      <c r="I32" s="16"/>
      <c r="J32" s="16"/>
      <c r="K32" s="16"/>
      <c r="L32" s="16"/>
    </row>
    <row r="33" spans="1:12">
      <c r="A33" s="8" t="s">
        <v>53</v>
      </c>
      <c r="B33" s="8">
        <v>11</v>
      </c>
      <c r="C33" s="8">
        <v>55</v>
      </c>
      <c r="D33" s="8">
        <v>0.937006</v>
      </c>
      <c r="E33" s="8">
        <v>0.848856</v>
      </c>
      <c r="F33" s="8">
        <v>0.988402</v>
      </c>
      <c r="H33" s="16"/>
      <c r="I33" s="16"/>
      <c r="J33" s="16"/>
      <c r="K33" s="16"/>
      <c r="L33" s="16"/>
    </row>
    <row r="34" spans="1:12">
      <c r="A34" s="8" t="s">
        <v>54</v>
      </c>
      <c r="B34" s="8">
        <v>11</v>
      </c>
      <c r="C34" s="8">
        <v>55</v>
      </c>
      <c r="D34" s="8">
        <v>0.943675</v>
      </c>
      <c r="E34" s="8">
        <v>0.879535</v>
      </c>
      <c r="F34" s="8">
        <v>0.983368</v>
      </c>
      <c r="H34" s="16"/>
      <c r="I34" s="16"/>
      <c r="J34" s="16"/>
      <c r="K34" s="16"/>
      <c r="L34" s="16"/>
    </row>
    <row r="35" spans="1:12">
      <c r="G35" s="15"/>
      <c r="H35" s="15"/>
      <c r="I35" s="15"/>
      <c r="J35" s="15"/>
      <c r="K35" s="15"/>
      <c r="L35" s="15"/>
    </row>
    <row r="36" spans="1:12">
      <c r="A36" s="13" t="s">
        <v>55</v>
      </c>
      <c r="B36" s="13"/>
      <c r="C36" s="13"/>
      <c r="D36" s="13"/>
      <c r="E36" s="15"/>
      <c r="F36" s="15"/>
    </row>
    <row r="37" spans="1:12">
      <c r="A37" s="14" t="s">
        <v>36</v>
      </c>
      <c r="B37" s="14" t="s">
        <v>56</v>
      </c>
      <c r="C37" s="14" t="s">
        <v>57</v>
      </c>
      <c r="D37" s="14" t="s">
        <v>58</v>
      </c>
    </row>
    <row r="38" spans="1:12">
      <c r="A38" s="8" t="s">
        <v>42</v>
      </c>
      <c r="B38" s="8" t="s">
        <v>26</v>
      </c>
      <c r="C38" s="8" t="s">
        <v>24</v>
      </c>
      <c r="D38" s="8">
        <v>0.643758</v>
      </c>
    </row>
    <row r="39" spans="1:12">
      <c r="A39" s="8" t="s">
        <v>42</v>
      </c>
      <c r="B39" s="8" t="s">
        <v>26</v>
      </c>
      <c r="C39" s="8" t="s">
        <v>25</v>
      </c>
      <c r="D39" s="8">
        <v>0.806709</v>
      </c>
    </row>
    <row r="40" spans="1:12">
      <c r="A40" s="8" t="s">
        <v>42</v>
      </c>
      <c r="B40" s="8" t="s">
        <v>26</v>
      </c>
      <c r="C40" s="8" t="s">
        <v>34</v>
      </c>
      <c r="D40" s="8">
        <v>0.906881</v>
      </c>
    </row>
    <row r="41" spans="1:12">
      <c r="A41" s="8" t="s">
        <v>42</v>
      </c>
      <c r="B41" s="8" t="s">
        <v>26</v>
      </c>
      <c r="C41" s="8" t="s">
        <v>31</v>
      </c>
      <c r="D41" s="8">
        <v>0.940017</v>
      </c>
    </row>
    <row r="42" spans="1:12">
      <c r="A42" s="8" t="s">
        <v>42</v>
      </c>
      <c r="B42" s="8" t="s">
        <v>26</v>
      </c>
      <c r="C42" s="8" t="s">
        <v>32</v>
      </c>
      <c r="D42" s="8">
        <v>0.908268</v>
      </c>
    </row>
    <row r="43" spans="1:12">
      <c r="A43" s="8" t="s">
        <v>42</v>
      </c>
      <c r="B43" s="8" t="s">
        <v>26</v>
      </c>
      <c r="C43" s="8" t="s">
        <v>33</v>
      </c>
      <c r="D43" s="8">
        <v>0.949261</v>
      </c>
    </row>
    <row r="44" spans="1:12">
      <c r="A44" s="8" t="s">
        <v>42</v>
      </c>
      <c r="B44" s="8" t="s">
        <v>26</v>
      </c>
      <c r="C44" s="8" t="s">
        <v>27</v>
      </c>
      <c r="D44" s="8">
        <v>0.94326</v>
      </c>
    </row>
    <row r="45" spans="1:12">
      <c r="A45" s="8" t="s">
        <v>42</v>
      </c>
      <c r="B45" s="8" t="s">
        <v>26</v>
      </c>
      <c r="C45" s="8" t="s">
        <v>28</v>
      </c>
      <c r="D45" s="8">
        <v>0.937234</v>
      </c>
    </row>
    <row r="46" spans="1:12">
      <c r="A46" s="8" t="s">
        <v>42</v>
      </c>
      <c r="B46" s="8" t="s">
        <v>26</v>
      </c>
      <c r="C46" s="8" t="s">
        <v>29</v>
      </c>
      <c r="D46" s="8">
        <v>0.885738</v>
      </c>
    </row>
    <row r="47" spans="1:12">
      <c r="A47" s="8" t="s">
        <v>42</v>
      </c>
      <c r="B47" s="8" t="s">
        <v>26</v>
      </c>
      <c r="C47" s="8" t="s">
        <v>30</v>
      </c>
      <c r="D47" s="8">
        <v>0.922082</v>
      </c>
    </row>
    <row r="48" spans="1:12">
      <c r="A48" s="8" t="s">
        <v>42</v>
      </c>
      <c r="B48" s="8" t="s">
        <v>24</v>
      </c>
      <c r="C48" s="8" t="s">
        <v>25</v>
      </c>
      <c r="D48" s="8">
        <v>0.798823</v>
      </c>
    </row>
    <row r="49" spans="1:4">
      <c r="A49" s="8" t="s">
        <v>42</v>
      </c>
      <c r="B49" s="8" t="s">
        <v>24</v>
      </c>
      <c r="C49" s="8" t="s">
        <v>34</v>
      </c>
      <c r="D49" s="8">
        <v>0.752953</v>
      </c>
    </row>
    <row r="50" spans="1:4">
      <c r="A50" s="8" t="s">
        <v>42</v>
      </c>
      <c r="B50" s="8" t="s">
        <v>24</v>
      </c>
      <c r="C50" s="8" t="s">
        <v>31</v>
      </c>
      <c r="D50" s="8">
        <v>0.718745</v>
      </c>
    </row>
    <row r="51" spans="1:4">
      <c r="A51" s="8" t="s">
        <v>42</v>
      </c>
      <c r="B51" s="8" t="s">
        <v>24</v>
      </c>
      <c r="C51" s="8" t="s">
        <v>32</v>
      </c>
      <c r="D51" s="8">
        <v>0.753834</v>
      </c>
    </row>
    <row r="52" spans="1:4">
      <c r="A52" s="8" t="s">
        <v>42</v>
      </c>
      <c r="B52" s="8" t="s">
        <v>24</v>
      </c>
      <c r="C52" s="8" t="s">
        <v>33</v>
      </c>
      <c r="D52" s="8">
        <v>0.699141</v>
      </c>
    </row>
    <row r="53" spans="1:4">
      <c r="A53" s="8" t="s">
        <v>42</v>
      </c>
      <c r="B53" s="8" t="s">
        <v>24</v>
      </c>
      <c r="C53" s="8" t="s">
        <v>27</v>
      </c>
      <c r="D53" s="8">
        <v>0.71492</v>
      </c>
    </row>
    <row r="54" spans="1:4">
      <c r="A54" s="8" t="s">
        <v>42</v>
      </c>
      <c r="B54" s="8" t="s">
        <v>24</v>
      </c>
      <c r="C54" s="8" t="s">
        <v>28</v>
      </c>
      <c r="D54" s="8">
        <v>0.725731</v>
      </c>
    </row>
    <row r="55" spans="1:4">
      <c r="A55" s="8" t="s">
        <v>42</v>
      </c>
      <c r="B55" s="8" t="s">
        <v>24</v>
      </c>
      <c r="C55" s="8" t="s">
        <v>29</v>
      </c>
      <c r="D55" s="8">
        <v>0.782881</v>
      </c>
    </row>
    <row r="56" spans="1:4">
      <c r="A56" s="8" t="s">
        <v>42</v>
      </c>
      <c r="B56" s="8" t="s">
        <v>24</v>
      </c>
      <c r="C56" s="8" t="s">
        <v>30</v>
      </c>
      <c r="D56" s="8">
        <v>0.745076</v>
      </c>
    </row>
    <row r="57" spans="1:4">
      <c r="A57" s="8" t="s">
        <v>42</v>
      </c>
      <c r="B57" s="8" t="s">
        <v>25</v>
      </c>
      <c r="C57" s="8" t="s">
        <v>34</v>
      </c>
      <c r="D57" s="8">
        <v>0.848772</v>
      </c>
    </row>
    <row r="58" spans="1:4">
      <c r="A58" s="8" t="s">
        <v>42</v>
      </c>
      <c r="B58" s="8" t="s">
        <v>25</v>
      </c>
      <c r="C58" s="8" t="s">
        <v>31</v>
      </c>
      <c r="D58" s="8">
        <v>0.841526</v>
      </c>
    </row>
    <row r="59" spans="1:4">
      <c r="A59" s="8" t="s">
        <v>42</v>
      </c>
      <c r="B59" s="8" t="s">
        <v>25</v>
      </c>
      <c r="C59" s="8" t="s">
        <v>32</v>
      </c>
      <c r="D59" s="8">
        <v>0.893322</v>
      </c>
    </row>
    <row r="60" spans="1:4">
      <c r="A60" s="8" t="s">
        <v>42</v>
      </c>
      <c r="B60" s="8" t="s">
        <v>25</v>
      </c>
      <c r="C60" s="8" t="s">
        <v>33</v>
      </c>
      <c r="D60" s="8">
        <v>0.840721</v>
      </c>
    </row>
    <row r="61" spans="1:4">
      <c r="A61" s="8" t="s">
        <v>42</v>
      </c>
      <c r="B61" s="8" t="s">
        <v>25</v>
      </c>
      <c r="C61" s="8" t="s">
        <v>27</v>
      </c>
      <c r="D61" s="8">
        <v>0.852896</v>
      </c>
    </row>
    <row r="62" spans="1:4">
      <c r="A62" s="8" t="s">
        <v>42</v>
      </c>
      <c r="B62" s="8" t="s">
        <v>25</v>
      </c>
      <c r="C62" s="8" t="s">
        <v>28</v>
      </c>
      <c r="D62" s="8">
        <v>0.874774</v>
      </c>
    </row>
    <row r="63" spans="1:4">
      <c r="A63" s="8" t="s">
        <v>42</v>
      </c>
      <c r="B63" s="8" t="s">
        <v>25</v>
      </c>
      <c r="C63" s="8" t="s">
        <v>29</v>
      </c>
      <c r="D63" s="8">
        <v>0.884539</v>
      </c>
    </row>
    <row r="64" spans="1:4">
      <c r="A64" s="8" t="s">
        <v>42</v>
      </c>
      <c r="B64" s="8" t="s">
        <v>25</v>
      </c>
      <c r="C64" s="8" t="s">
        <v>30</v>
      </c>
      <c r="D64" s="8">
        <v>0.879163</v>
      </c>
    </row>
    <row r="65" spans="1:4">
      <c r="A65" s="8" t="s">
        <v>42</v>
      </c>
      <c r="B65" s="8" t="s">
        <v>34</v>
      </c>
      <c r="C65" s="8" t="s">
        <v>31</v>
      </c>
      <c r="D65" s="8">
        <v>0.913585</v>
      </c>
    </row>
    <row r="66" spans="1:4">
      <c r="A66" s="8" t="s">
        <v>42</v>
      </c>
      <c r="B66" s="8" t="s">
        <v>34</v>
      </c>
      <c r="C66" s="8" t="s">
        <v>32</v>
      </c>
      <c r="D66" s="8">
        <v>0.908061</v>
      </c>
    </row>
    <row r="67" spans="1:4">
      <c r="A67" s="8" t="s">
        <v>42</v>
      </c>
      <c r="B67" s="8" t="s">
        <v>34</v>
      </c>
      <c r="C67" s="8" t="s">
        <v>33</v>
      </c>
      <c r="D67" s="8">
        <v>0.897943</v>
      </c>
    </row>
    <row r="68" spans="1:4">
      <c r="A68" s="8" t="s">
        <v>42</v>
      </c>
      <c r="B68" s="8" t="s">
        <v>34</v>
      </c>
      <c r="C68" s="8" t="s">
        <v>27</v>
      </c>
      <c r="D68" s="8">
        <v>0.913395</v>
      </c>
    </row>
    <row r="69" spans="1:4">
      <c r="A69" s="8" t="s">
        <v>42</v>
      </c>
      <c r="B69" s="8" t="s">
        <v>34</v>
      </c>
      <c r="C69" s="8" t="s">
        <v>28</v>
      </c>
      <c r="D69" s="8">
        <v>0.899808</v>
      </c>
    </row>
    <row r="70" spans="1:4">
      <c r="A70" s="8" t="s">
        <v>42</v>
      </c>
      <c r="B70" s="8" t="s">
        <v>34</v>
      </c>
      <c r="C70" s="8" t="s">
        <v>29</v>
      </c>
      <c r="D70" s="8">
        <v>0.887788</v>
      </c>
    </row>
    <row r="71" spans="1:4">
      <c r="A71" s="8" t="s">
        <v>42</v>
      </c>
      <c r="B71" s="8" t="s">
        <v>34</v>
      </c>
      <c r="C71" s="8" t="s">
        <v>30</v>
      </c>
      <c r="D71" s="8">
        <v>0.902461</v>
      </c>
    </row>
    <row r="72" spans="1:4">
      <c r="A72" s="8" t="s">
        <v>42</v>
      </c>
      <c r="B72" s="8" t="s">
        <v>31</v>
      </c>
      <c r="C72" s="8" t="s">
        <v>32</v>
      </c>
      <c r="D72" s="8">
        <v>0.964759</v>
      </c>
    </row>
    <row r="73" spans="1:4">
      <c r="A73" s="8" t="s">
        <v>42</v>
      </c>
      <c r="B73" s="8" t="s">
        <v>31</v>
      </c>
      <c r="C73" s="8" t="s">
        <v>33</v>
      </c>
      <c r="D73" s="8">
        <v>0.978732</v>
      </c>
    </row>
    <row r="74" spans="1:4">
      <c r="A74" s="8" t="s">
        <v>42</v>
      </c>
      <c r="B74" s="8" t="s">
        <v>31</v>
      </c>
      <c r="C74" s="8" t="s">
        <v>27</v>
      </c>
      <c r="D74" s="8">
        <v>0.976605</v>
      </c>
    </row>
    <row r="75" spans="1:4">
      <c r="A75" s="8" t="s">
        <v>42</v>
      </c>
      <c r="B75" s="8" t="s">
        <v>31</v>
      </c>
      <c r="C75" s="8" t="s">
        <v>28</v>
      </c>
      <c r="D75" s="8">
        <v>0.946149</v>
      </c>
    </row>
    <row r="76" spans="1:4">
      <c r="A76" s="8" t="s">
        <v>42</v>
      </c>
      <c r="B76" s="8" t="s">
        <v>31</v>
      </c>
      <c r="C76" s="8" t="s">
        <v>29</v>
      </c>
      <c r="D76" s="8">
        <v>0.878898</v>
      </c>
    </row>
    <row r="77" spans="1:4">
      <c r="A77" s="8" t="s">
        <v>42</v>
      </c>
      <c r="B77" s="8" t="s">
        <v>31</v>
      </c>
      <c r="C77" s="8" t="s">
        <v>30</v>
      </c>
      <c r="D77" s="8">
        <v>0.932495</v>
      </c>
    </row>
    <row r="78" spans="1:4">
      <c r="A78" s="8" t="s">
        <v>42</v>
      </c>
      <c r="B78" s="8" t="s">
        <v>32</v>
      </c>
      <c r="C78" s="8" t="s">
        <v>33</v>
      </c>
      <c r="D78" s="8">
        <v>0.963223</v>
      </c>
    </row>
    <row r="79" spans="1:4">
      <c r="A79" s="8" t="s">
        <v>42</v>
      </c>
      <c r="B79" s="8" t="s">
        <v>32</v>
      </c>
      <c r="C79" s="8" t="s">
        <v>27</v>
      </c>
      <c r="D79" s="8">
        <v>0.967222</v>
      </c>
    </row>
    <row r="80" spans="1:4">
      <c r="A80" s="8" t="s">
        <v>42</v>
      </c>
      <c r="B80" s="8" t="s">
        <v>32</v>
      </c>
      <c r="C80" s="8" t="s">
        <v>28</v>
      </c>
      <c r="D80" s="8">
        <v>0.952524</v>
      </c>
    </row>
    <row r="81" spans="1:4">
      <c r="A81" s="8" t="s">
        <v>42</v>
      </c>
      <c r="B81" s="8" t="s">
        <v>32</v>
      </c>
      <c r="C81" s="8" t="s">
        <v>29</v>
      </c>
      <c r="D81" s="8">
        <v>0.900554</v>
      </c>
    </row>
    <row r="82" spans="1:4">
      <c r="A82" s="8" t="s">
        <v>42</v>
      </c>
      <c r="B82" s="8" t="s">
        <v>32</v>
      </c>
      <c r="C82" s="8" t="s">
        <v>30</v>
      </c>
      <c r="D82" s="8">
        <v>0.940132</v>
      </c>
    </row>
    <row r="83" spans="1:4">
      <c r="A83" s="8" t="s">
        <v>42</v>
      </c>
      <c r="B83" s="8" t="s">
        <v>33</v>
      </c>
      <c r="C83" s="8" t="s">
        <v>27</v>
      </c>
      <c r="D83" s="8">
        <v>0.977533</v>
      </c>
    </row>
    <row r="84" spans="1:4">
      <c r="A84" s="8" t="s">
        <v>42</v>
      </c>
      <c r="B84" s="8" t="s">
        <v>33</v>
      </c>
      <c r="C84" s="8" t="s">
        <v>28</v>
      </c>
      <c r="D84" s="8">
        <v>0.954259</v>
      </c>
    </row>
    <row r="85" spans="1:4">
      <c r="A85" s="8" t="s">
        <v>42</v>
      </c>
      <c r="B85" s="8" t="s">
        <v>33</v>
      </c>
      <c r="C85" s="8" t="s">
        <v>29</v>
      </c>
      <c r="D85" s="8">
        <v>0.877889</v>
      </c>
    </row>
    <row r="86" spans="1:4">
      <c r="A86" s="8" t="s">
        <v>42</v>
      </c>
      <c r="B86" s="8" t="s">
        <v>33</v>
      </c>
      <c r="C86" s="8" t="s">
        <v>30</v>
      </c>
      <c r="D86" s="8">
        <v>0.932525</v>
      </c>
    </row>
    <row r="87" spans="1:4">
      <c r="A87" s="8" t="s">
        <v>42</v>
      </c>
      <c r="B87" s="8" t="s">
        <v>27</v>
      </c>
      <c r="C87" s="8" t="s">
        <v>28</v>
      </c>
      <c r="D87" s="8">
        <v>0.937611</v>
      </c>
    </row>
    <row r="88" spans="1:4">
      <c r="A88" s="8" t="s">
        <v>42</v>
      </c>
      <c r="B88" s="8" t="s">
        <v>27</v>
      </c>
      <c r="C88" s="8" t="s">
        <v>29</v>
      </c>
      <c r="D88" s="8">
        <v>0.880366</v>
      </c>
    </row>
    <row r="89" spans="1:4">
      <c r="A89" s="8" t="s">
        <v>42</v>
      </c>
      <c r="B89" s="8" t="s">
        <v>27</v>
      </c>
      <c r="C89" s="8" t="s">
        <v>30</v>
      </c>
      <c r="D89" s="8">
        <v>0.926323</v>
      </c>
    </row>
    <row r="90" spans="1:4">
      <c r="A90" s="8" t="s">
        <v>42</v>
      </c>
      <c r="B90" s="8" t="s">
        <v>28</v>
      </c>
      <c r="C90" s="8" t="s">
        <v>29</v>
      </c>
      <c r="D90" s="8">
        <v>0.934122</v>
      </c>
    </row>
    <row r="91" spans="1:4">
      <c r="A91" s="8" t="s">
        <v>42</v>
      </c>
      <c r="B91" s="8" t="s">
        <v>28</v>
      </c>
      <c r="C91" s="8" t="s">
        <v>30</v>
      </c>
      <c r="D91" s="8">
        <v>0.972381</v>
      </c>
    </row>
    <row r="92" spans="1:4">
      <c r="A92" s="8" t="s">
        <v>42</v>
      </c>
      <c r="B92" s="8" t="s">
        <v>29</v>
      </c>
      <c r="C92" s="8" t="s">
        <v>30</v>
      </c>
      <c r="D92" s="8">
        <v>0.95096</v>
      </c>
    </row>
    <row r="93" spans="1:4">
      <c r="A93" s="8" t="s">
        <v>43</v>
      </c>
      <c r="B93" s="8" t="s">
        <v>26</v>
      </c>
      <c r="C93" s="8" t="s">
        <v>24</v>
      </c>
      <c r="D93" s="8">
        <v>0.791746</v>
      </c>
    </row>
    <row r="94" spans="1:4">
      <c r="A94" s="8" t="s">
        <v>43</v>
      </c>
      <c r="B94" s="8" t="s">
        <v>26</v>
      </c>
      <c r="C94" s="8" t="s">
        <v>25</v>
      </c>
      <c r="D94" s="8">
        <v>0.906174</v>
      </c>
    </row>
    <row r="95" spans="1:4">
      <c r="A95" s="8" t="s">
        <v>43</v>
      </c>
      <c r="B95" s="8" t="s">
        <v>26</v>
      </c>
      <c r="C95" s="8" t="s">
        <v>34</v>
      </c>
      <c r="D95" s="8">
        <v>0.793488</v>
      </c>
    </row>
    <row r="96" spans="1:4">
      <c r="A96" s="8" t="s">
        <v>43</v>
      </c>
      <c r="B96" s="8" t="s">
        <v>26</v>
      </c>
      <c r="C96" s="8" t="s">
        <v>31</v>
      </c>
      <c r="D96" s="8">
        <v>0.941881</v>
      </c>
    </row>
    <row r="97" spans="1:4">
      <c r="A97" s="8" t="s">
        <v>43</v>
      </c>
      <c r="B97" s="8" t="s">
        <v>26</v>
      </c>
      <c r="C97" s="8" t="s">
        <v>32</v>
      </c>
      <c r="D97" s="8">
        <v>0.901122</v>
      </c>
    </row>
    <row r="98" spans="1:4">
      <c r="A98" s="8" t="s">
        <v>43</v>
      </c>
      <c r="B98" s="8" t="s">
        <v>26</v>
      </c>
      <c r="C98" s="8" t="s">
        <v>33</v>
      </c>
      <c r="D98" s="8">
        <v>0.901649</v>
      </c>
    </row>
    <row r="99" spans="1:4">
      <c r="A99" s="8" t="s">
        <v>43</v>
      </c>
      <c r="B99" s="8" t="s">
        <v>26</v>
      </c>
      <c r="C99" s="8" t="s">
        <v>27</v>
      </c>
      <c r="D99" s="8">
        <v>0.851526</v>
      </c>
    </row>
    <row r="100" spans="1:4">
      <c r="A100" s="8" t="s">
        <v>43</v>
      </c>
      <c r="B100" s="8" t="s">
        <v>26</v>
      </c>
      <c r="C100" s="8" t="s">
        <v>28</v>
      </c>
      <c r="D100" s="8">
        <v>0.850329</v>
      </c>
    </row>
    <row r="101" spans="1:4">
      <c r="A101" s="8" t="s">
        <v>43</v>
      </c>
      <c r="B101" s="8" t="s">
        <v>26</v>
      </c>
      <c r="C101" s="8" t="s">
        <v>29</v>
      </c>
      <c r="D101" s="8">
        <v>0.837611</v>
      </c>
    </row>
    <row r="102" spans="1:4">
      <c r="A102" s="8" t="s">
        <v>43</v>
      </c>
      <c r="B102" s="8" t="s">
        <v>26</v>
      </c>
      <c r="C102" s="8" t="s">
        <v>30</v>
      </c>
      <c r="D102" s="8">
        <v>0.819099</v>
      </c>
    </row>
    <row r="103" spans="1:4">
      <c r="A103" s="8" t="s">
        <v>43</v>
      </c>
      <c r="B103" s="8" t="s">
        <v>24</v>
      </c>
      <c r="C103" s="8" t="s">
        <v>25</v>
      </c>
      <c r="D103" s="8">
        <v>0.811909</v>
      </c>
    </row>
    <row r="104" spans="1:4">
      <c r="A104" s="8" t="s">
        <v>43</v>
      </c>
      <c r="B104" s="8" t="s">
        <v>24</v>
      </c>
      <c r="C104" s="8" t="s">
        <v>34</v>
      </c>
      <c r="D104" s="8">
        <v>0.784716</v>
      </c>
    </row>
    <row r="105" spans="1:4">
      <c r="A105" s="8" t="s">
        <v>43</v>
      </c>
      <c r="B105" s="8" t="s">
        <v>24</v>
      </c>
      <c r="C105" s="8" t="s">
        <v>31</v>
      </c>
      <c r="D105" s="8">
        <v>0.814525</v>
      </c>
    </row>
    <row r="106" spans="1:4">
      <c r="A106" s="8" t="s">
        <v>43</v>
      </c>
      <c r="B106" s="8" t="s">
        <v>24</v>
      </c>
      <c r="C106" s="8" t="s">
        <v>32</v>
      </c>
      <c r="D106" s="8">
        <v>0.795393</v>
      </c>
    </row>
    <row r="107" spans="1:4">
      <c r="A107" s="8" t="s">
        <v>43</v>
      </c>
      <c r="B107" s="8" t="s">
        <v>24</v>
      </c>
      <c r="C107" s="8" t="s">
        <v>33</v>
      </c>
      <c r="D107" s="8">
        <v>0.808897</v>
      </c>
    </row>
    <row r="108" spans="1:4">
      <c r="A108" s="8" t="s">
        <v>43</v>
      </c>
      <c r="B108" s="8" t="s">
        <v>24</v>
      </c>
      <c r="C108" s="8" t="s">
        <v>27</v>
      </c>
      <c r="D108" s="8">
        <v>0.826325</v>
      </c>
    </row>
    <row r="109" spans="1:4">
      <c r="A109" s="8" t="s">
        <v>43</v>
      </c>
      <c r="B109" s="8" t="s">
        <v>24</v>
      </c>
      <c r="C109" s="8" t="s">
        <v>28</v>
      </c>
      <c r="D109" s="8">
        <v>0.791617</v>
      </c>
    </row>
    <row r="110" spans="1:4">
      <c r="A110" s="8" t="s">
        <v>43</v>
      </c>
      <c r="B110" s="8" t="s">
        <v>24</v>
      </c>
      <c r="C110" s="8" t="s">
        <v>29</v>
      </c>
      <c r="D110" s="8">
        <v>0.839927</v>
      </c>
    </row>
    <row r="111" spans="1:4">
      <c r="A111" s="8" t="s">
        <v>43</v>
      </c>
      <c r="B111" s="8" t="s">
        <v>24</v>
      </c>
      <c r="C111" s="8" t="s">
        <v>30</v>
      </c>
      <c r="D111" s="8">
        <v>0.850774</v>
      </c>
    </row>
    <row r="112" spans="1:4">
      <c r="A112" s="8" t="s">
        <v>43</v>
      </c>
      <c r="B112" s="8" t="s">
        <v>25</v>
      </c>
      <c r="C112" s="8" t="s">
        <v>34</v>
      </c>
      <c r="D112" s="8">
        <v>0.907491</v>
      </c>
    </row>
    <row r="113" spans="1:4">
      <c r="A113" s="8" t="s">
        <v>43</v>
      </c>
      <c r="B113" s="8" t="s">
        <v>25</v>
      </c>
      <c r="C113" s="8" t="s">
        <v>31</v>
      </c>
      <c r="D113" s="8">
        <v>0.944008</v>
      </c>
    </row>
    <row r="114" spans="1:4">
      <c r="A114" s="8" t="s">
        <v>43</v>
      </c>
      <c r="B114" s="8" t="s">
        <v>25</v>
      </c>
      <c r="C114" s="8" t="s">
        <v>32</v>
      </c>
      <c r="D114" s="8">
        <v>0.932896</v>
      </c>
    </row>
    <row r="115" spans="1:4">
      <c r="A115" s="8" t="s">
        <v>43</v>
      </c>
      <c r="B115" s="8" t="s">
        <v>25</v>
      </c>
      <c r="C115" s="8" t="s">
        <v>33</v>
      </c>
      <c r="D115" s="8">
        <v>0.95878</v>
      </c>
    </row>
    <row r="116" spans="1:4">
      <c r="A116" s="8" t="s">
        <v>43</v>
      </c>
      <c r="B116" s="8" t="s">
        <v>25</v>
      </c>
      <c r="C116" s="8" t="s">
        <v>27</v>
      </c>
      <c r="D116" s="8">
        <v>0.883869</v>
      </c>
    </row>
    <row r="117" spans="1:4">
      <c r="A117" s="8" t="s">
        <v>43</v>
      </c>
      <c r="B117" s="8" t="s">
        <v>25</v>
      </c>
      <c r="C117" s="8" t="s">
        <v>28</v>
      </c>
      <c r="D117" s="8">
        <v>0.947042</v>
      </c>
    </row>
    <row r="118" spans="1:4">
      <c r="A118" s="8" t="s">
        <v>43</v>
      </c>
      <c r="B118" s="8" t="s">
        <v>25</v>
      </c>
      <c r="C118" s="8" t="s">
        <v>29</v>
      </c>
      <c r="D118" s="8">
        <v>0.873486</v>
      </c>
    </row>
    <row r="119" spans="1:4">
      <c r="A119" s="8" t="s">
        <v>43</v>
      </c>
      <c r="B119" s="8" t="s">
        <v>25</v>
      </c>
      <c r="C119" s="8" t="s">
        <v>30</v>
      </c>
      <c r="D119" s="8">
        <v>0.858262</v>
      </c>
    </row>
    <row r="120" spans="1:4">
      <c r="A120" s="8" t="s">
        <v>43</v>
      </c>
      <c r="B120" s="8" t="s">
        <v>34</v>
      </c>
      <c r="C120" s="8" t="s">
        <v>31</v>
      </c>
      <c r="D120" s="8">
        <v>0.836073</v>
      </c>
    </row>
    <row r="121" spans="1:4">
      <c r="A121" s="8" t="s">
        <v>43</v>
      </c>
      <c r="B121" s="8" t="s">
        <v>34</v>
      </c>
      <c r="C121" s="8" t="s">
        <v>32</v>
      </c>
      <c r="D121" s="8">
        <v>0.838603</v>
      </c>
    </row>
    <row r="122" spans="1:4">
      <c r="A122" s="8" t="s">
        <v>43</v>
      </c>
      <c r="B122" s="8" t="s">
        <v>34</v>
      </c>
      <c r="C122" s="8" t="s">
        <v>33</v>
      </c>
      <c r="D122" s="8">
        <v>0.89713</v>
      </c>
    </row>
    <row r="123" spans="1:4">
      <c r="A123" s="8" t="s">
        <v>43</v>
      </c>
      <c r="B123" s="8" t="s">
        <v>34</v>
      </c>
      <c r="C123" s="8" t="s">
        <v>27</v>
      </c>
      <c r="D123" s="8">
        <v>0.828879</v>
      </c>
    </row>
    <row r="124" spans="1:4">
      <c r="A124" s="8" t="s">
        <v>43</v>
      </c>
      <c r="B124" s="8" t="s">
        <v>34</v>
      </c>
      <c r="C124" s="8" t="s">
        <v>28</v>
      </c>
      <c r="D124" s="8">
        <v>0.943524</v>
      </c>
    </row>
    <row r="125" spans="1:4">
      <c r="A125" s="8" t="s">
        <v>43</v>
      </c>
      <c r="B125" s="8" t="s">
        <v>34</v>
      </c>
      <c r="C125" s="8" t="s">
        <v>29</v>
      </c>
      <c r="D125" s="8">
        <v>0.855977</v>
      </c>
    </row>
    <row r="126" spans="1:4">
      <c r="A126" s="8" t="s">
        <v>43</v>
      </c>
      <c r="B126" s="8" t="s">
        <v>34</v>
      </c>
      <c r="C126" s="8" t="s">
        <v>30</v>
      </c>
      <c r="D126" s="8">
        <v>0.816386</v>
      </c>
    </row>
    <row r="127" spans="1:4">
      <c r="A127" s="8" t="s">
        <v>43</v>
      </c>
      <c r="B127" s="8" t="s">
        <v>31</v>
      </c>
      <c r="C127" s="8" t="s">
        <v>32</v>
      </c>
      <c r="D127" s="8">
        <v>0.948385</v>
      </c>
    </row>
    <row r="128" spans="1:4">
      <c r="A128" s="8" t="s">
        <v>43</v>
      </c>
      <c r="B128" s="8" t="s">
        <v>31</v>
      </c>
      <c r="C128" s="8" t="s">
        <v>33</v>
      </c>
      <c r="D128" s="8">
        <v>0.951705</v>
      </c>
    </row>
    <row r="129" spans="1:4">
      <c r="A129" s="8" t="s">
        <v>43</v>
      </c>
      <c r="B129" s="8" t="s">
        <v>31</v>
      </c>
      <c r="C129" s="8" t="s">
        <v>27</v>
      </c>
      <c r="D129" s="8">
        <v>0.866406</v>
      </c>
    </row>
    <row r="130" spans="1:4">
      <c r="A130" s="8" t="s">
        <v>43</v>
      </c>
      <c r="B130" s="8" t="s">
        <v>31</v>
      </c>
      <c r="C130" s="8" t="s">
        <v>28</v>
      </c>
      <c r="D130" s="8">
        <v>0.892343</v>
      </c>
    </row>
    <row r="131" spans="1:4">
      <c r="A131" s="8" t="s">
        <v>43</v>
      </c>
      <c r="B131" s="8" t="s">
        <v>31</v>
      </c>
      <c r="C131" s="8" t="s">
        <v>29</v>
      </c>
      <c r="D131" s="8">
        <v>0.852985</v>
      </c>
    </row>
    <row r="132" spans="1:4">
      <c r="A132" s="8" t="s">
        <v>43</v>
      </c>
      <c r="B132" s="8" t="s">
        <v>31</v>
      </c>
      <c r="C132" s="8" t="s">
        <v>30</v>
      </c>
      <c r="D132" s="8">
        <v>0.852527</v>
      </c>
    </row>
    <row r="133" spans="1:4">
      <c r="A133" s="8" t="s">
        <v>43</v>
      </c>
      <c r="B133" s="8" t="s">
        <v>32</v>
      </c>
      <c r="C133" s="8" t="s">
        <v>33</v>
      </c>
      <c r="D133" s="8">
        <v>0.961678</v>
      </c>
    </row>
    <row r="134" spans="1:4">
      <c r="A134" s="8" t="s">
        <v>43</v>
      </c>
      <c r="B134" s="8" t="s">
        <v>32</v>
      </c>
      <c r="C134" s="8" t="s">
        <v>27</v>
      </c>
      <c r="D134" s="8">
        <v>0.843011</v>
      </c>
    </row>
    <row r="135" spans="1:4">
      <c r="A135" s="8" t="s">
        <v>43</v>
      </c>
      <c r="B135" s="8" t="s">
        <v>32</v>
      </c>
      <c r="C135" s="8" t="s">
        <v>28</v>
      </c>
      <c r="D135" s="8">
        <v>0.894721</v>
      </c>
    </row>
    <row r="136" spans="1:4">
      <c r="A136" s="8" t="s">
        <v>43</v>
      </c>
      <c r="B136" s="8" t="s">
        <v>32</v>
      </c>
      <c r="C136" s="8" t="s">
        <v>29</v>
      </c>
      <c r="D136" s="8">
        <v>0.848991</v>
      </c>
    </row>
    <row r="137" spans="1:4">
      <c r="A137" s="8" t="s">
        <v>43</v>
      </c>
      <c r="B137" s="8" t="s">
        <v>32</v>
      </c>
      <c r="C137" s="8" t="s">
        <v>30</v>
      </c>
      <c r="D137" s="8">
        <v>0.847311</v>
      </c>
    </row>
    <row r="138" spans="1:4">
      <c r="A138" s="8" t="s">
        <v>43</v>
      </c>
      <c r="B138" s="8" t="s">
        <v>33</v>
      </c>
      <c r="C138" s="8" t="s">
        <v>27</v>
      </c>
      <c r="D138" s="8">
        <v>0.854873</v>
      </c>
    </row>
    <row r="139" spans="1:4">
      <c r="A139" s="8" t="s">
        <v>43</v>
      </c>
      <c r="B139" s="8" t="s">
        <v>33</v>
      </c>
      <c r="C139" s="8" t="s">
        <v>28</v>
      </c>
      <c r="D139" s="8">
        <v>0.943219</v>
      </c>
    </row>
    <row r="140" spans="1:4">
      <c r="A140" s="8" t="s">
        <v>43</v>
      </c>
      <c r="B140" s="8" t="s">
        <v>33</v>
      </c>
      <c r="C140" s="8" t="s">
        <v>29</v>
      </c>
      <c r="D140" s="8">
        <v>0.87139</v>
      </c>
    </row>
    <row r="141" spans="1:4">
      <c r="A141" s="8" t="s">
        <v>43</v>
      </c>
      <c r="B141" s="8" t="s">
        <v>33</v>
      </c>
      <c r="C141" s="8" t="s">
        <v>30</v>
      </c>
      <c r="D141" s="8">
        <v>0.843743</v>
      </c>
    </row>
    <row r="142" spans="1:4">
      <c r="A142" s="8" t="s">
        <v>43</v>
      </c>
      <c r="B142" s="8" t="s">
        <v>27</v>
      </c>
      <c r="C142" s="8" t="s">
        <v>28</v>
      </c>
      <c r="D142" s="8">
        <v>0.855886</v>
      </c>
    </row>
    <row r="143" spans="1:4">
      <c r="A143" s="8" t="s">
        <v>43</v>
      </c>
      <c r="B143" s="8" t="s">
        <v>27</v>
      </c>
      <c r="C143" s="8" t="s">
        <v>29</v>
      </c>
      <c r="D143" s="8">
        <v>0.91173</v>
      </c>
    </row>
    <row r="144" spans="1:4">
      <c r="A144" s="8" t="s">
        <v>43</v>
      </c>
      <c r="B144" s="8" t="s">
        <v>27</v>
      </c>
      <c r="C144" s="8" t="s">
        <v>30</v>
      </c>
      <c r="D144" s="8">
        <v>0.958592</v>
      </c>
    </row>
    <row r="145" spans="1:4">
      <c r="A145" s="8" t="s">
        <v>43</v>
      </c>
      <c r="B145" s="8" t="s">
        <v>28</v>
      </c>
      <c r="C145" s="8" t="s">
        <v>29</v>
      </c>
      <c r="D145" s="8">
        <v>0.85207</v>
      </c>
    </row>
    <row r="146" spans="1:4">
      <c r="A146" s="8" t="s">
        <v>43</v>
      </c>
      <c r="B146" s="8" t="s">
        <v>28</v>
      </c>
      <c r="C146" s="8" t="s">
        <v>30</v>
      </c>
      <c r="D146" s="8">
        <v>0.817688</v>
      </c>
    </row>
    <row r="147" spans="1:4">
      <c r="A147" s="8" t="s">
        <v>43</v>
      </c>
      <c r="B147" s="8" t="s">
        <v>29</v>
      </c>
      <c r="C147" s="8" t="s">
        <v>30</v>
      </c>
      <c r="D147" s="8">
        <v>0.90946</v>
      </c>
    </row>
    <row r="148" spans="1:4">
      <c r="A148" s="8" t="s">
        <v>44</v>
      </c>
      <c r="B148" s="8" t="s">
        <v>26</v>
      </c>
      <c r="C148" s="8" t="s">
        <v>24</v>
      </c>
      <c r="D148" s="8">
        <v>0.867004</v>
      </c>
    </row>
    <row r="149" spans="1:4">
      <c r="A149" s="8" t="s">
        <v>44</v>
      </c>
      <c r="B149" s="8" t="s">
        <v>26</v>
      </c>
      <c r="C149" s="8" t="s">
        <v>25</v>
      </c>
      <c r="D149" s="8">
        <v>0.965145</v>
      </c>
    </row>
    <row r="150" spans="1:4">
      <c r="A150" s="8" t="s">
        <v>44</v>
      </c>
      <c r="B150" s="8" t="s">
        <v>26</v>
      </c>
      <c r="C150" s="8" t="s">
        <v>34</v>
      </c>
      <c r="D150" s="8">
        <v>0.905775</v>
      </c>
    </row>
    <row r="151" spans="1:4">
      <c r="A151" s="8" t="s">
        <v>44</v>
      </c>
      <c r="B151" s="8" t="s">
        <v>26</v>
      </c>
      <c r="C151" s="8" t="s">
        <v>31</v>
      </c>
      <c r="D151" s="8">
        <v>0.96723</v>
      </c>
    </row>
    <row r="152" spans="1:4">
      <c r="A152" s="8" t="s">
        <v>44</v>
      </c>
      <c r="B152" s="8" t="s">
        <v>26</v>
      </c>
      <c r="C152" s="8" t="s">
        <v>32</v>
      </c>
      <c r="D152" s="8">
        <v>0.950953</v>
      </c>
    </row>
    <row r="153" spans="1:4">
      <c r="A153" s="8" t="s">
        <v>44</v>
      </c>
      <c r="B153" s="8" t="s">
        <v>26</v>
      </c>
      <c r="C153" s="8" t="s">
        <v>33</v>
      </c>
      <c r="D153" s="8">
        <v>0.969167</v>
      </c>
    </row>
    <row r="154" spans="1:4">
      <c r="A154" s="8" t="s">
        <v>44</v>
      </c>
      <c r="B154" s="8" t="s">
        <v>26</v>
      </c>
      <c r="C154" s="8" t="s">
        <v>27</v>
      </c>
      <c r="D154" s="8">
        <v>0.968586</v>
      </c>
    </row>
    <row r="155" spans="1:4">
      <c r="A155" s="8" t="s">
        <v>44</v>
      </c>
      <c r="B155" s="8" t="s">
        <v>26</v>
      </c>
      <c r="C155" s="8" t="s">
        <v>28</v>
      </c>
      <c r="D155" s="8">
        <v>0.9479</v>
      </c>
    </row>
    <row r="156" spans="1:4">
      <c r="A156" s="8" t="s">
        <v>44</v>
      </c>
      <c r="B156" s="8" t="s">
        <v>26</v>
      </c>
      <c r="C156" s="8" t="s">
        <v>29</v>
      </c>
      <c r="D156" s="8">
        <v>0.924445</v>
      </c>
    </row>
    <row r="157" spans="1:4">
      <c r="A157" s="8" t="s">
        <v>44</v>
      </c>
      <c r="B157" s="8" t="s">
        <v>26</v>
      </c>
      <c r="C157" s="8" t="s">
        <v>30</v>
      </c>
      <c r="D157" s="8">
        <v>0.948148</v>
      </c>
    </row>
    <row r="158" spans="1:4">
      <c r="A158" s="8" t="s">
        <v>44</v>
      </c>
      <c r="B158" s="8" t="s">
        <v>24</v>
      </c>
      <c r="C158" s="8" t="s">
        <v>25</v>
      </c>
      <c r="D158" s="8">
        <v>0.896089</v>
      </c>
    </row>
    <row r="159" spans="1:4">
      <c r="A159" s="8" t="s">
        <v>44</v>
      </c>
      <c r="B159" s="8" t="s">
        <v>24</v>
      </c>
      <c r="C159" s="8" t="s">
        <v>34</v>
      </c>
      <c r="D159" s="8">
        <v>0.865822</v>
      </c>
    </row>
    <row r="160" spans="1:4">
      <c r="A160" s="8" t="s">
        <v>44</v>
      </c>
      <c r="B160" s="8" t="s">
        <v>24</v>
      </c>
      <c r="C160" s="8" t="s">
        <v>31</v>
      </c>
      <c r="D160" s="8">
        <v>0.877569</v>
      </c>
    </row>
    <row r="161" spans="1:4">
      <c r="A161" s="8" t="s">
        <v>44</v>
      </c>
      <c r="B161" s="8" t="s">
        <v>24</v>
      </c>
      <c r="C161" s="8" t="s">
        <v>32</v>
      </c>
      <c r="D161" s="8">
        <v>0.886663</v>
      </c>
    </row>
    <row r="162" spans="1:4">
      <c r="A162" s="8" t="s">
        <v>44</v>
      </c>
      <c r="B162" s="8" t="s">
        <v>24</v>
      </c>
      <c r="C162" s="8" t="s">
        <v>33</v>
      </c>
      <c r="D162" s="8">
        <v>0.86392</v>
      </c>
    </row>
    <row r="163" spans="1:4">
      <c r="A163" s="8" t="s">
        <v>44</v>
      </c>
      <c r="B163" s="8" t="s">
        <v>24</v>
      </c>
      <c r="C163" s="8" t="s">
        <v>27</v>
      </c>
      <c r="D163" s="8">
        <v>0.871084</v>
      </c>
    </row>
    <row r="164" spans="1:4">
      <c r="A164" s="8" t="s">
        <v>44</v>
      </c>
      <c r="B164" s="8" t="s">
        <v>24</v>
      </c>
      <c r="C164" s="8" t="s">
        <v>28</v>
      </c>
      <c r="D164" s="8">
        <v>0.872158</v>
      </c>
    </row>
    <row r="165" spans="1:4">
      <c r="A165" s="8" t="s">
        <v>44</v>
      </c>
      <c r="B165" s="8" t="s">
        <v>24</v>
      </c>
      <c r="C165" s="8" t="s">
        <v>29</v>
      </c>
      <c r="D165" s="8">
        <v>0.839417</v>
      </c>
    </row>
    <row r="166" spans="1:4">
      <c r="A166" s="8" t="s">
        <v>44</v>
      </c>
      <c r="B166" s="8" t="s">
        <v>24</v>
      </c>
      <c r="C166" s="8" t="s">
        <v>30</v>
      </c>
      <c r="D166" s="8">
        <v>0.871278</v>
      </c>
    </row>
    <row r="167" spans="1:4">
      <c r="A167" s="8" t="s">
        <v>44</v>
      </c>
      <c r="B167" s="8" t="s">
        <v>25</v>
      </c>
      <c r="C167" s="8" t="s">
        <v>34</v>
      </c>
      <c r="D167" s="8">
        <v>0.913488</v>
      </c>
    </row>
    <row r="168" spans="1:4">
      <c r="A168" s="8" t="s">
        <v>44</v>
      </c>
      <c r="B168" s="8" t="s">
        <v>25</v>
      </c>
      <c r="C168" s="8" t="s">
        <v>31</v>
      </c>
      <c r="D168" s="8">
        <v>0.97145</v>
      </c>
    </row>
    <row r="169" spans="1:4">
      <c r="A169" s="8" t="s">
        <v>44</v>
      </c>
      <c r="B169" s="8" t="s">
        <v>25</v>
      </c>
      <c r="C169" s="8" t="s">
        <v>32</v>
      </c>
      <c r="D169" s="8">
        <v>0.949639</v>
      </c>
    </row>
    <row r="170" spans="1:4">
      <c r="A170" s="8" t="s">
        <v>44</v>
      </c>
      <c r="B170" s="8" t="s">
        <v>25</v>
      </c>
      <c r="C170" s="8" t="s">
        <v>33</v>
      </c>
      <c r="D170" s="8">
        <v>0.95188</v>
      </c>
    </row>
    <row r="171" spans="1:4">
      <c r="A171" s="8" t="s">
        <v>44</v>
      </c>
      <c r="B171" s="8" t="s">
        <v>25</v>
      </c>
      <c r="C171" s="8" t="s">
        <v>27</v>
      </c>
      <c r="D171" s="8">
        <v>0.971498</v>
      </c>
    </row>
    <row r="172" spans="1:4">
      <c r="A172" s="8" t="s">
        <v>44</v>
      </c>
      <c r="B172" s="8" t="s">
        <v>25</v>
      </c>
      <c r="C172" s="8" t="s">
        <v>28</v>
      </c>
      <c r="D172" s="8">
        <v>0.941271</v>
      </c>
    </row>
    <row r="173" spans="1:4">
      <c r="A173" s="8" t="s">
        <v>44</v>
      </c>
      <c r="B173" s="8" t="s">
        <v>25</v>
      </c>
      <c r="C173" s="8" t="s">
        <v>29</v>
      </c>
      <c r="D173" s="8">
        <v>0.925605</v>
      </c>
    </row>
    <row r="174" spans="1:4">
      <c r="A174" s="8" t="s">
        <v>44</v>
      </c>
      <c r="B174" s="8" t="s">
        <v>25</v>
      </c>
      <c r="C174" s="8" t="s">
        <v>30</v>
      </c>
      <c r="D174" s="8">
        <v>0.939879</v>
      </c>
    </row>
    <row r="175" spans="1:4">
      <c r="A175" s="8" t="s">
        <v>44</v>
      </c>
      <c r="B175" s="8" t="s">
        <v>34</v>
      </c>
      <c r="C175" s="8" t="s">
        <v>31</v>
      </c>
      <c r="D175" s="8">
        <v>0.90261</v>
      </c>
    </row>
    <row r="176" spans="1:4">
      <c r="A176" s="8" t="s">
        <v>44</v>
      </c>
      <c r="B176" s="8" t="s">
        <v>34</v>
      </c>
      <c r="C176" s="8" t="s">
        <v>32</v>
      </c>
      <c r="D176" s="8">
        <v>0.916206</v>
      </c>
    </row>
    <row r="177" spans="1:4">
      <c r="A177" s="8" t="s">
        <v>44</v>
      </c>
      <c r="B177" s="8" t="s">
        <v>34</v>
      </c>
      <c r="C177" s="8" t="s">
        <v>33</v>
      </c>
      <c r="D177" s="8">
        <v>0.896771</v>
      </c>
    </row>
    <row r="178" spans="1:4">
      <c r="A178" s="8" t="s">
        <v>44</v>
      </c>
      <c r="B178" s="8" t="s">
        <v>34</v>
      </c>
      <c r="C178" s="8" t="s">
        <v>27</v>
      </c>
      <c r="D178" s="8">
        <v>0.902087</v>
      </c>
    </row>
    <row r="179" spans="1:4">
      <c r="A179" s="8" t="s">
        <v>44</v>
      </c>
      <c r="B179" s="8" t="s">
        <v>34</v>
      </c>
      <c r="C179" s="8" t="s">
        <v>28</v>
      </c>
      <c r="D179" s="8">
        <v>0.889034</v>
      </c>
    </row>
    <row r="180" spans="1:4">
      <c r="A180" s="8" t="s">
        <v>44</v>
      </c>
      <c r="B180" s="8" t="s">
        <v>34</v>
      </c>
      <c r="C180" s="8" t="s">
        <v>29</v>
      </c>
      <c r="D180" s="8">
        <v>0.912673</v>
      </c>
    </row>
    <row r="181" spans="1:4">
      <c r="A181" s="8" t="s">
        <v>44</v>
      </c>
      <c r="B181" s="8" t="s">
        <v>34</v>
      </c>
      <c r="C181" s="8" t="s">
        <v>30</v>
      </c>
      <c r="D181" s="8">
        <v>0.863713</v>
      </c>
    </row>
    <row r="182" spans="1:4">
      <c r="A182" s="8" t="s">
        <v>44</v>
      </c>
      <c r="B182" s="8" t="s">
        <v>31</v>
      </c>
      <c r="C182" s="8" t="s">
        <v>32</v>
      </c>
      <c r="D182" s="8">
        <v>0.951194</v>
      </c>
    </row>
    <row r="183" spans="1:4">
      <c r="A183" s="8" t="s">
        <v>44</v>
      </c>
      <c r="B183" s="8" t="s">
        <v>31</v>
      </c>
      <c r="C183" s="8" t="s">
        <v>33</v>
      </c>
      <c r="D183" s="8">
        <v>0.960615</v>
      </c>
    </row>
    <row r="184" spans="1:4">
      <c r="A184" s="8" t="s">
        <v>44</v>
      </c>
      <c r="B184" s="8" t="s">
        <v>31</v>
      </c>
      <c r="C184" s="8" t="s">
        <v>27</v>
      </c>
      <c r="D184" s="8">
        <v>0.982145</v>
      </c>
    </row>
    <row r="185" spans="1:4">
      <c r="A185" s="8" t="s">
        <v>44</v>
      </c>
      <c r="B185" s="8" t="s">
        <v>31</v>
      </c>
      <c r="C185" s="8" t="s">
        <v>28</v>
      </c>
      <c r="D185" s="8">
        <v>0.930983</v>
      </c>
    </row>
    <row r="186" spans="1:4">
      <c r="A186" s="8" t="s">
        <v>44</v>
      </c>
      <c r="B186" s="8" t="s">
        <v>31</v>
      </c>
      <c r="C186" s="8" t="s">
        <v>29</v>
      </c>
      <c r="D186" s="8">
        <v>0.909046</v>
      </c>
    </row>
    <row r="187" spans="1:4">
      <c r="A187" s="8" t="s">
        <v>44</v>
      </c>
      <c r="B187" s="8" t="s">
        <v>31</v>
      </c>
      <c r="C187" s="8" t="s">
        <v>30</v>
      </c>
      <c r="D187" s="8">
        <v>0.931584</v>
      </c>
    </row>
    <row r="188" spans="1:4">
      <c r="A188" s="8" t="s">
        <v>44</v>
      </c>
      <c r="B188" s="8" t="s">
        <v>32</v>
      </c>
      <c r="C188" s="8" t="s">
        <v>33</v>
      </c>
      <c r="D188" s="8">
        <v>0.958652</v>
      </c>
    </row>
    <row r="189" spans="1:4">
      <c r="A189" s="8" t="s">
        <v>44</v>
      </c>
      <c r="B189" s="8" t="s">
        <v>32</v>
      </c>
      <c r="C189" s="8" t="s">
        <v>27</v>
      </c>
      <c r="D189" s="8">
        <v>0.940361</v>
      </c>
    </row>
    <row r="190" spans="1:4">
      <c r="A190" s="8" t="s">
        <v>44</v>
      </c>
      <c r="B190" s="8" t="s">
        <v>32</v>
      </c>
      <c r="C190" s="8" t="s">
        <v>28</v>
      </c>
      <c r="D190" s="8">
        <v>0.942453</v>
      </c>
    </row>
    <row r="191" spans="1:4">
      <c r="A191" s="8" t="s">
        <v>44</v>
      </c>
      <c r="B191" s="8" t="s">
        <v>32</v>
      </c>
      <c r="C191" s="8" t="s">
        <v>29</v>
      </c>
      <c r="D191" s="8">
        <v>0.906458</v>
      </c>
    </row>
    <row r="192" spans="1:4">
      <c r="A192" s="8" t="s">
        <v>44</v>
      </c>
      <c r="B192" s="8" t="s">
        <v>32</v>
      </c>
      <c r="C192" s="8" t="s">
        <v>30</v>
      </c>
      <c r="D192" s="8">
        <v>0.933128</v>
      </c>
    </row>
    <row r="193" spans="1:4">
      <c r="A193" s="8" t="s">
        <v>44</v>
      </c>
      <c r="B193" s="8" t="s">
        <v>33</v>
      </c>
      <c r="C193" s="8" t="s">
        <v>27</v>
      </c>
      <c r="D193" s="8">
        <v>0.950647</v>
      </c>
    </row>
    <row r="194" spans="1:4">
      <c r="A194" s="8" t="s">
        <v>44</v>
      </c>
      <c r="B194" s="8" t="s">
        <v>33</v>
      </c>
      <c r="C194" s="8" t="s">
        <v>28</v>
      </c>
      <c r="D194" s="8">
        <v>0.932168</v>
      </c>
    </row>
    <row r="195" spans="1:4">
      <c r="A195" s="8" t="s">
        <v>44</v>
      </c>
      <c r="B195" s="8" t="s">
        <v>33</v>
      </c>
      <c r="C195" s="8" t="s">
        <v>29</v>
      </c>
      <c r="D195" s="8">
        <v>0.907356</v>
      </c>
    </row>
    <row r="196" spans="1:4">
      <c r="A196" s="8" t="s">
        <v>44</v>
      </c>
      <c r="B196" s="8" t="s">
        <v>33</v>
      </c>
      <c r="C196" s="8" t="s">
        <v>30</v>
      </c>
      <c r="D196" s="8">
        <v>0.924859</v>
      </c>
    </row>
    <row r="197" spans="1:4">
      <c r="A197" s="8" t="s">
        <v>44</v>
      </c>
      <c r="B197" s="8" t="s">
        <v>27</v>
      </c>
      <c r="C197" s="8" t="s">
        <v>28</v>
      </c>
      <c r="D197" s="8">
        <v>0.952483</v>
      </c>
    </row>
    <row r="198" spans="1:4">
      <c r="A198" s="8" t="s">
        <v>44</v>
      </c>
      <c r="B198" s="8" t="s">
        <v>27</v>
      </c>
      <c r="C198" s="8" t="s">
        <v>29</v>
      </c>
      <c r="D198" s="8">
        <v>0.923985</v>
      </c>
    </row>
    <row r="199" spans="1:4">
      <c r="A199" s="8" t="s">
        <v>44</v>
      </c>
      <c r="B199" s="8" t="s">
        <v>27</v>
      </c>
      <c r="C199" s="8" t="s">
        <v>30</v>
      </c>
      <c r="D199" s="8">
        <v>0.954037</v>
      </c>
    </row>
    <row r="200" spans="1:4">
      <c r="A200" s="8" t="s">
        <v>44</v>
      </c>
      <c r="B200" s="8" t="s">
        <v>28</v>
      </c>
      <c r="C200" s="8" t="s">
        <v>29</v>
      </c>
      <c r="D200" s="8">
        <v>0.933059</v>
      </c>
    </row>
    <row r="201" spans="1:4">
      <c r="A201" s="8" t="s">
        <v>44</v>
      </c>
      <c r="B201" s="8" t="s">
        <v>28</v>
      </c>
      <c r="C201" s="8" t="s">
        <v>30</v>
      </c>
      <c r="D201" s="8">
        <v>0.974785</v>
      </c>
    </row>
    <row r="202" spans="1:4">
      <c r="A202" s="8" t="s">
        <v>44</v>
      </c>
      <c r="B202" s="8" t="s">
        <v>29</v>
      </c>
      <c r="C202" s="8" t="s">
        <v>30</v>
      </c>
      <c r="D202" s="8">
        <v>0.917232</v>
      </c>
    </row>
    <row r="203" spans="1:4">
      <c r="A203" s="8" t="s">
        <v>45</v>
      </c>
      <c r="B203" s="8" t="s">
        <v>26</v>
      </c>
      <c r="C203" s="8" t="s">
        <v>24</v>
      </c>
      <c r="D203" s="8">
        <v>0.76666</v>
      </c>
    </row>
    <row r="204" spans="1:4">
      <c r="A204" s="8" t="s">
        <v>45</v>
      </c>
      <c r="B204" s="8" t="s">
        <v>26</v>
      </c>
      <c r="C204" s="8" t="s">
        <v>25</v>
      </c>
      <c r="D204" s="8">
        <v>0.948934</v>
      </c>
    </row>
    <row r="205" spans="1:4">
      <c r="A205" s="8" t="s">
        <v>45</v>
      </c>
      <c r="B205" s="8" t="s">
        <v>26</v>
      </c>
      <c r="C205" s="8" t="s">
        <v>34</v>
      </c>
      <c r="D205" s="8">
        <v>0.857802</v>
      </c>
    </row>
    <row r="206" spans="1:4">
      <c r="A206" s="8" t="s">
        <v>45</v>
      </c>
      <c r="B206" s="8" t="s">
        <v>26</v>
      </c>
      <c r="C206" s="8" t="s">
        <v>31</v>
      </c>
      <c r="D206" s="8">
        <v>0.965045</v>
      </c>
    </row>
    <row r="207" spans="1:4">
      <c r="A207" s="8" t="s">
        <v>45</v>
      </c>
      <c r="B207" s="8" t="s">
        <v>26</v>
      </c>
      <c r="C207" s="8" t="s">
        <v>32</v>
      </c>
      <c r="D207" s="8">
        <v>0.959476</v>
      </c>
    </row>
    <row r="208" spans="1:4">
      <c r="A208" s="8" t="s">
        <v>45</v>
      </c>
      <c r="B208" s="8" t="s">
        <v>26</v>
      </c>
      <c r="C208" s="8" t="s">
        <v>33</v>
      </c>
      <c r="D208" s="8">
        <v>0.951898</v>
      </c>
    </row>
    <row r="209" spans="1:4">
      <c r="A209" s="8" t="s">
        <v>45</v>
      </c>
      <c r="B209" s="8" t="s">
        <v>26</v>
      </c>
      <c r="C209" s="8" t="s">
        <v>27</v>
      </c>
      <c r="D209" s="8">
        <v>0.941302</v>
      </c>
    </row>
    <row r="210" spans="1:4">
      <c r="A210" s="8" t="s">
        <v>45</v>
      </c>
      <c r="B210" s="8" t="s">
        <v>26</v>
      </c>
      <c r="C210" s="8" t="s">
        <v>28</v>
      </c>
      <c r="D210" s="8">
        <v>0.95193</v>
      </c>
    </row>
    <row r="211" spans="1:4">
      <c r="A211" s="8" t="s">
        <v>45</v>
      </c>
      <c r="B211" s="8" t="s">
        <v>26</v>
      </c>
      <c r="C211" s="8" t="s">
        <v>29</v>
      </c>
      <c r="D211" s="8">
        <v>0.912809</v>
      </c>
    </row>
    <row r="212" spans="1:4">
      <c r="A212" s="8" t="s">
        <v>45</v>
      </c>
      <c r="B212" s="8" t="s">
        <v>26</v>
      </c>
      <c r="C212" s="8" t="s">
        <v>30</v>
      </c>
      <c r="D212" s="8">
        <v>0.944575</v>
      </c>
    </row>
    <row r="213" spans="1:4">
      <c r="A213" s="8" t="s">
        <v>45</v>
      </c>
      <c r="B213" s="8" t="s">
        <v>24</v>
      </c>
      <c r="C213" s="8" t="s">
        <v>25</v>
      </c>
      <c r="D213" s="8">
        <v>0.764684</v>
      </c>
    </row>
    <row r="214" spans="1:4">
      <c r="A214" s="8" t="s">
        <v>45</v>
      </c>
      <c r="B214" s="8" t="s">
        <v>24</v>
      </c>
      <c r="C214" s="8" t="s">
        <v>34</v>
      </c>
      <c r="D214" s="8">
        <v>0.746767</v>
      </c>
    </row>
    <row r="215" spans="1:4">
      <c r="A215" s="8" t="s">
        <v>45</v>
      </c>
      <c r="B215" s="8" t="s">
        <v>24</v>
      </c>
      <c r="C215" s="8" t="s">
        <v>31</v>
      </c>
      <c r="D215" s="8">
        <v>0.785527</v>
      </c>
    </row>
    <row r="216" spans="1:4">
      <c r="A216" s="8" t="s">
        <v>45</v>
      </c>
      <c r="B216" s="8" t="s">
        <v>24</v>
      </c>
      <c r="C216" s="8" t="s">
        <v>32</v>
      </c>
      <c r="D216" s="8">
        <v>0.798578</v>
      </c>
    </row>
    <row r="217" spans="1:4">
      <c r="A217" s="8" t="s">
        <v>45</v>
      </c>
      <c r="B217" s="8" t="s">
        <v>24</v>
      </c>
      <c r="C217" s="8" t="s">
        <v>33</v>
      </c>
      <c r="D217" s="8">
        <v>0.786701</v>
      </c>
    </row>
    <row r="218" spans="1:4">
      <c r="A218" s="8" t="s">
        <v>45</v>
      </c>
      <c r="B218" s="8" t="s">
        <v>24</v>
      </c>
      <c r="C218" s="8" t="s">
        <v>27</v>
      </c>
      <c r="D218" s="8">
        <v>0.788455</v>
      </c>
    </row>
    <row r="219" spans="1:4">
      <c r="A219" s="8" t="s">
        <v>45</v>
      </c>
      <c r="B219" s="8" t="s">
        <v>24</v>
      </c>
      <c r="C219" s="8" t="s">
        <v>28</v>
      </c>
      <c r="D219" s="8">
        <v>0.779597</v>
      </c>
    </row>
    <row r="220" spans="1:4">
      <c r="A220" s="8" t="s">
        <v>45</v>
      </c>
      <c r="B220" s="8" t="s">
        <v>24</v>
      </c>
      <c r="C220" s="8" t="s">
        <v>29</v>
      </c>
      <c r="D220" s="8">
        <v>0.818022</v>
      </c>
    </row>
    <row r="221" spans="1:4">
      <c r="A221" s="8" t="s">
        <v>45</v>
      </c>
      <c r="B221" s="8" t="s">
        <v>24</v>
      </c>
      <c r="C221" s="8" t="s">
        <v>30</v>
      </c>
      <c r="D221" s="8">
        <v>0.800151</v>
      </c>
    </row>
    <row r="222" spans="1:4">
      <c r="A222" s="8" t="s">
        <v>45</v>
      </c>
      <c r="B222" s="8" t="s">
        <v>25</v>
      </c>
      <c r="C222" s="8" t="s">
        <v>34</v>
      </c>
      <c r="D222" s="8">
        <v>0.88219</v>
      </c>
    </row>
    <row r="223" spans="1:4">
      <c r="A223" s="8" t="s">
        <v>45</v>
      </c>
      <c r="B223" s="8" t="s">
        <v>25</v>
      </c>
      <c r="C223" s="8" t="s">
        <v>31</v>
      </c>
      <c r="D223" s="8">
        <v>0.967727</v>
      </c>
    </row>
    <row r="224" spans="1:4">
      <c r="A224" s="8" t="s">
        <v>45</v>
      </c>
      <c r="B224" s="8" t="s">
        <v>25</v>
      </c>
      <c r="C224" s="8" t="s">
        <v>32</v>
      </c>
      <c r="D224" s="8">
        <v>0.954672</v>
      </c>
    </row>
    <row r="225" spans="1:4">
      <c r="A225" s="8" t="s">
        <v>45</v>
      </c>
      <c r="B225" s="8" t="s">
        <v>25</v>
      </c>
      <c r="C225" s="8" t="s">
        <v>33</v>
      </c>
      <c r="D225" s="8">
        <v>0.957017</v>
      </c>
    </row>
    <row r="226" spans="1:4">
      <c r="A226" s="8" t="s">
        <v>45</v>
      </c>
      <c r="B226" s="8" t="s">
        <v>25</v>
      </c>
      <c r="C226" s="8" t="s">
        <v>27</v>
      </c>
      <c r="D226" s="8">
        <v>0.950617</v>
      </c>
    </row>
    <row r="227" spans="1:4">
      <c r="A227" s="8" t="s">
        <v>45</v>
      </c>
      <c r="B227" s="8" t="s">
        <v>25</v>
      </c>
      <c r="C227" s="8" t="s">
        <v>28</v>
      </c>
      <c r="D227" s="8">
        <v>0.966985</v>
      </c>
    </row>
    <row r="228" spans="1:4">
      <c r="A228" s="8" t="s">
        <v>45</v>
      </c>
      <c r="B228" s="8" t="s">
        <v>25</v>
      </c>
      <c r="C228" s="8" t="s">
        <v>29</v>
      </c>
      <c r="D228" s="8">
        <v>0.905511</v>
      </c>
    </row>
    <row r="229" spans="1:4">
      <c r="A229" s="8" t="s">
        <v>45</v>
      </c>
      <c r="B229" s="8" t="s">
        <v>25</v>
      </c>
      <c r="C229" s="8" t="s">
        <v>30</v>
      </c>
      <c r="D229" s="8">
        <v>0.953476</v>
      </c>
    </row>
    <row r="230" spans="1:4">
      <c r="A230" s="8" t="s">
        <v>45</v>
      </c>
      <c r="B230" s="8" t="s">
        <v>34</v>
      </c>
      <c r="C230" s="8" t="s">
        <v>31</v>
      </c>
      <c r="D230" s="8">
        <v>0.866406</v>
      </c>
    </row>
    <row r="231" spans="1:4">
      <c r="A231" s="8" t="s">
        <v>45</v>
      </c>
      <c r="B231" s="8" t="s">
        <v>34</v>
      </c>
      <c r="C231" s="8" t="s">
        <v>32</v>
      </c>
      <c r="D231" s="8">
        <v>0.882108</v>
      </c>
    </row>
    <row r="232" spans="1:4">
      <c r="A232" s="8" t="s">
        <v>45</v>
      </c>
      <c r="B232" s="8" t="s">
        <v>34</v>
      </c>
      <c r="C232" s="8" t="s">
        <v>33</v>
      </c>
      <c r="D232" s="8">
        <v>0.870158</v>
      </c>
    </row>
    <row r="233" spans="1:4">
      <c r="A233" s="8" t="s">
        <v>45</v>
      </c>
      <c r="B233" s="8" t="s">
        <v>34</v>
      </c>
      <c r="C233" s="8" t="s">
        <v>27</v>
      </c>
      <c r="D233" s="8">
        <v>0.870345</v>
      </c>
    </row>
    <row r="234" spans="1:4">
      <c r="A234" s="8" t="s">
        <v>45</v>
      </c>
      <c r="B234" s="8" t="s">
        <v>34</v>
      </c>
      <c r="C234" s="8" t="s">
        <v>28</v>
      </c>
      <c r="D234" s="8">
        <v>0.864196</v>
      </c>
    </row>
    <row r="235" spans="1:4">
      <c r="A235" s="8" t="s">
        <v>45</v>
      </c>
      <c r="B235" s="8" t="s">
        <v>34</v>
      </c>
      <c r="C235" s="8" t="s">
        <v>29</v>
      </c>
      <c r="D235" s="8">
        <v>0.840532</v>
      </c>
    </row>
    <row r="236" spans="1:4">
      <c r="A236" s="8" t="s">
        <v>45</v>
      </c>
      <c r="B236" s="8" t="s">
        <v>34</v>
      </c>
      <c r="C236" s="8" t="s">
        <v>30</v>
      </c>
      <c r="D236" s="8">
        <v>0.847231</v>
      </c>
    </row>
    <row r="237" spans="1:4">
      <c r="A237" s="8" t="s">
        <v>45</v>
      </c>
      <c r="B237" s="8" t="s">
        <v>31</v>
      </c>
      <c r="C237" s="8" t="s">
        <v>32</v>
      </c>
      <c r="D237" s="8">
        <v>0.987206</v>
      </c>
    </row>
    <row r="238" spans="1:4">
      <c r="A238" s="8" t="s">
        <v>45</v>
      </c>
      <c r="B238" s="8" t="s">
        <v>31</v>
      </c>
      <c r="C238" s="8" t="s">
        <v>33</v>
      </c>
      <c r="D238" s="8">
        <v>0.97819</v>
      </c>
    </row>
    <row r="239" spans="1:4">
      <c r="A239" s="8" t="s">
        <v>45</v>
      </c>
      <c r="B239" s="8" t="s">
        <v>31</v>
      </c>
      <c r="C239" s="8" t="s">
        <v>27</v>
      </c>
      <c r="D239" s="8">
        <v>0.977692</v>
      </c>
    </row>
    <row r="240" spans="1:4">
      <c r="A240" s="8" t="s">
        <v>45</v>
      </c>
      <c r="B240" s="8" t="s">
        <v>31</v>
      </c>
      <c r="C240" s="8" t="s">
        <v>28</v>
      </c>
      <c r="D240" s="8">
        <v>0.97609</v>
      </c>
    </row>
    <row r="241" spans="1:4">
      <c r="A241" s="8" t="s">
        <v>45</v>
      </c>
      <c r="B241" s="8" t="s">
        <v>31</v>
      </c>
      <c r="C241" s="8" t="s">
        <v>29</v>
      </c>
      <c r="D241" s="8">
        <v>0.923713</v>
      </c>
    </row>
    <row r="242" spans="1:4">
      <c r="A242" s="8" t="s">
        <v>45</v>
      </c>
      <c r="B242" s="8" t="s">
        <v>31</v>
      </c>
      <c r="C242" s="8" t="s">
        <v>30</v>
      </c>
      <c r="D242" s="8">
        <v>0.972785</v>
      </c>
    </row>
    <row r="243" spans="1:4">
      <c r="A243" s="8" t="s">
        <v>45</v>
      </c>
      <c r="B243" s="8" t="s">
        <v>32</v>
      </c>
      <c r="C243" s="8" t="s">
        <v>33</v>
      </c>
      <c r="D243" s="8">
        <v>0.976849</v>
      </c>
    </row>
    <row r="244" spans="1:4">
      <c r="A244" s="8" t="s">
        <v>45</v>
      </c>
      <c r="B244" s="8" t="s">
        <v>32</v>
      </c>
      <c r="C244" s="8" t="s">
        <v>27</v>
      </c>
      <c r="D244" s="8">
        <v>0.969514</v>
      </c>
    </row>
    <row r="245" spans="1:4">
      <c r="A245" s="8" t="s">
        <v>45</v>
      </c>
      <c r="B245" s="8" t="s">
        <v>32</v>
      </c>
      <c r="C245" s="8" t="s">
        <v>28</v>
      </c>
      <c r="D245" s="8">
        <v>0.970651</v>
      </c>
    </row>
    <row r="246" spans="1:4">
      <c r="A246" s="8" t="s">
        <v>45</v>
      </c>
      <c r="B246" s="8" t="s">
        <v>32</v>
      </c>
      <c r="C246" s="8" t="s">
        <v>29</v>
      </c>
      <c r="D246" s="8">
        <v>0.929065</v>
      </c>
    </row>
    <row r="247" spans="1:4">
      <c r="A247" s="8" t="s">
        <v>45</v>
      </c>
      <c r="B247" s="8" t="s">
        <v>32</v>
      </c>
      <c r="C247" s="8" t="s">
        <v>30</v>
      </c>
      <c r="D247" s="8">
        <v>0.969129</v>
      </c>
    </row>
    <row r="248" spans="1:4">
      <c r="A248" s="8" t="s">
        <v>45</v>
      </c>
      <c r="B248" s="8" t="s">
        <v>33</v>
      </c>
      <c r="C248" s="8" t="s">
        <v>27</v>
      </c>
      <c r="D248" s="8">
        <v>0.968799</v>
      </c>
    </row>
    <row r="249" spans="1:4">
      <c r="A249" s="8" t="s">
        <v>45</v>
      </c>
      <c r="B249" s="8" t="s">
        <v>33</v>
      </c>
      <c r="C249" s="8" t="s">
        <v>28</v>
      </c>
      <c r="D249" s="8">
        <v>0.98642</v>
      </c>
    </row>
    <row r="250" spans="1:4">
      <c r="A250" s="8" t="s">
        <v>45</v>
      </c>
      <c r="B250" s="8" t="s">
        <v>33</v>
      </c>
      <c r="C250" s="8" t="s">
        <v>29</v>
      </c>
      <c r="D250" s="8">
        <v>0.933292</v>
      </c>
    </row>
    <row r="251" spans="1:4">
      <c r="A251" s="8" t="s">
        <v>45</v>
      </c>
      <c r="B251" s="8" t="s">
        <v>33</v>
      </c>
      <c r="C251" s="8" t="s">
        <v>30</v>
      </c>
      <c r="D251" s="8">
        <v>0.979897</v>
      </c>
    </row>
    <row r="252" spans="1:4">
      <c r="A252" s="8" t="s">
        <v>45</v>
      </c>
      <c r="B252" s="8" t="s">
        <v>27</v>
      </c>
      <c r="C252" s="8" t="s">
        <v>28</v>
      </c>
      <c r="D252" s="8">
        <v>0.965157</v>
      </c>
    </row>
    <row r="253" spans="1:4">
      <c r="A253" s="8" t="s">
        <v>45</v>
      </c>
      <c r="B253" s="8" t="s">
        <v>27</v>
      </c>
      <c r="C253" s="8" t="s">
        <v>29</v>
      </c>
      <c r="D253" s="8">
        <v>0.940937</v>
      </c>
    </row>
    <row r="254" spans="1:4">
      <c r="A254" s="8" t="s">
        <v>45</v>
      </c>
      <c r="B254" s="8" t="s">
        <v>27</v>
      </c>
      <c r="C254" s="8" t="s">
        <v>30</v>
      </c>
      <c r="D254" s="8">
        <v>0.965012</v>
      </c>
    </row>
    <row r="255" spans="1:4">
      <c r="A255" s="8" t="s">
        <v>45</v>
      </c>
      <c r="B255" s="8" t="s">
        <v>28</v>
      </c>
      <c r="C255" s="8" t="s">
        <v>29</v>
      </c>
      <c r="D255" s="8">
        <v>0.933356</v>
      </c>
    </row>
    <row r="256" spans="1:4">
      <c r="A256" s="8" t="s">
        <v>45</v>
      </c>
      <c r="B256" s="8" t="s">
        <v>28</v>
      </c>
      <c r="C256" s="8" t="s">
        <v>30</v>
      </c>
      <c r="D256" s="8">
        <v>0.976969</v>
      </c>
    </row>
    <row r="257" spans="1:4">
      <c r="A257" s="8" t="s">
        <v>45</v>
      </c>
      <c r="B257" s="8" t="s">
        <v>29</v>
      </c>
      <c r="C257" s="8" t="s">
        <v>30</v>
      </c>
      <c r="D257" s="8">
        <v>0.953642</v>
      </c>
    </row>
    <row r="258" spans="1:4">
      <c r="A258" s="8" t="s">
        <v>46</v>
      </c>
      <c r="B258" s="8" t="s">
        <v>26</v>
      </c>
      <c r="C258" s="8" t="s">
        <v>24</v>
      </c>
      <c r="D258" s="8">
        <v>0.806987</v>
      </c>
    </row>
    <row r="259" spans="1:4">
      <c r="A259" s="8" t="s">
        <v>46</v>
      </c>
      <c r="B259" s="8" t="s">
        <v>26</v>
      </c>
      <c r="C259" s="8" t="s">
        <v>25</v>
      </c>
      <c r="D259" s="8">
        <v>0.961474</v>
      </c>
    </row>
    <row r="260" spans="1:4">
      <c r="A260" s="8" t="s">
        <v>46</v>
      </c>
      <c r="B260" s="8" t="s">
        <v>26</v>
      </c>
      <c r="C260" s="8" t="s">
        <v>34</v>
      </c>
      <c r="D260" s="8">
        <v>0.920541</v>
      </c>
    </row>
    <row r="261" spans="1:4">
      <c r="A261" s="8" t="s">
        <v>46</v>
      </c>
      <c r="B261" s="8" t="s">
        <v>26</v>
      </c>
      <c r="C261" s="8" t="s">
        <v>31</v>
      </c>
      <c r="D261" s="8">
        <v>0.947427</v>
      </c>
    </row>
    <row r="262" spans="1:4">
      <c r="A262" s="8" t="s">
        <v>46</v>
      </c>
      <c r="B262" s="8" t="s">
        <v>26</v>
      </c>
      <c r="C262" s="8" t="s">
        <v>32</v>
      </c>
      <c r="D262" s="8">
        <v>0.957673</v>
      </c>
    </row>
    <row r="263" spans="1:4">
      <c r="A263" s="8" t="s">
        <v>46</v>
      </c>
      <c r="B263" s="8" t="s">
        <v>26</v>
      </c>
      <c r="C263" s="8" t="s">
        <v>33</v>
      </c>
      <c r="D263" s="8">
        <v>0.964679</v>
      </c>
    </row>
    <row r="264" spans="1:4">
      <c r="A264" s="8" t="s">
        <v>46</v>
      </c>
      <c r="B264" s="8" t="s">
        <v>26</v>
      </c>
      <c r="C264" s="8" t="s">
        <v>27</v>
      </c>
      <c r="D264" s="8">
        <v>0.968561</v>
      </c>
    </row>
    <row r="265" spans="1:4">
      <c r="A265" s="8" t="s">
        <v>46</v>
      </c>
      <c r="B265" s="8" t="s">
        <v>26</v>
      </c>
      <c r="C265" s="8" t="s">
        <v>28</v>
      </c>
      <c r="D265" s="8">
        <v>0.975425</v>
      </c>
    </row>
    <row r="266" spans="1:4">
      <c r="A266" s="8" t="s">
        <v>46</v>
      </c>
      <c r="B266" s="8" t="s">
        <v>26</v>
      </c>
      <c r="C266" s="8" t="s">
        <v>29</v>
      </c>
      <c r="D266" s="8">
        <v>0.938123</v>
      </c>
    </row>
    <row r="267" spans="1:4">
      <c r="A267" s="8" t="s">
        <v>46</v>
      </c>
      <c r="B267" s="8" t="s">
        <v>26</v>
      </c>
      <c r="C267" s="8" t="s">
        <v>30</v>
      </c>
      <c r="D267" s="8">
        <v>0.95312</v>
      </c>
    </row>
    <row r="268" spans="1:4">
      <c r="A268" s="8" t="s">
        <v>46</v>
      </c>
      <c r="B268" s="8" t="s">
        <v>24</v>
      </c>
      <c r="C268" s="8" t="s">
        <v>25</v>
      </c>
      <c r="D268" s="8">
        <v>0.868181</v>
      </c>
    </row>
    <row r="269" spans="1:4">
      <c r="A269" s="8" t="s">
        <v>46</v>
      </c>
      <c r="B269" s="8" t="s">
        <v>24</v>
      </c>
      <c r="C269" s="8" t="s">
        <v>34</v>
      </c>
      <c r="D269" s="8">
        <v>0.819505</v>
      </c>
    </row>
    <row r="270" spans="1:4">
      <c r="A270" s="8" t="s">
        <v>46</v>
      </c>
      <c r="B270" s="8" t="s">
        <v>24</v>
      </c>
      <c r="C270" s="8" t="s">
        <v>31</v>
      </c>
      <c r="D270" s="8">
        <v>0.793496</v>
      </c>
    </row>
    <row r="271" spans="1:4">
      <c r="A271" s="8" t="s">
        <v>46</v>
      </c>
      <c r="B271" s="8" t="s">
        <v>24</v>
      </c>
      <c r="C271" s="8" t="s">
        <v>32</v>
      </c>
      <c r="D271" s="8">
        <v>0.804518</v>
      </c>
    </row>
    <row r="272" spans="1:4">
      <c r="A272" s="8" t="s">
        <v>46</v>
      </c>
      <c r="B272" s="8" t="s">
        <v>24</v>
      </c>
      <c r="C272" s="8" t="s">
        <v>33</v>
      </c>
      <c r="D272" s="8">
        <v>0.798371</v>
      </c>
    </row>
    <row r="273" spans="1:4">
      <c r="A273" s="8" t="s">
        <v>46</v>
      </c>
      <c r="B273" s="8" t="s">
        <v>24</v>
      </c>
      <c r="C273" s="8" t="s">
        <v>27</v>
      </c>
      <c r="D273" s="8">
        <v>0.824631</v>
      </c>
    </row>
    <row r="274" spans="1:4">
      <c r="A274" s="8" t="s">
        <v>46</v>
      </c>
      <c r="B274" s="8" t="s">
        <v>24</v>
      </c>
      <c r="C274" s="8" t="s">
        <v>28</v>
      </c>
      <c r="D274" s="8">
        <v>0.806584</v>
      </c>
    </row>
    <row r="275" spans="1:4">
      <c r="A275" s="8" t="s">
        <v>46</v>
      </c>
      <c r="B275" s="8" t="s">
        <v>24</v>
      </c>
      <c r="C275" s="8" t="s">
        <v>29</v>
      </c>
      <c r="D275" s="8">
        <v>0.834176</v>
      </c>
    </row>
    <row r="276" spans="1:4">
      <c r="A276" s="8" t="s">
        <v>46</v>
      </c>
      <c r="B276" s="8" t="s">
        <v>24</v>
      </c>
      <c r="C276" s="8" t="s">
        <v>30</v>
      </c>
      <c r="D276" s="8">
        <v>0.824622</v>
      </c>
    </row>
    <row r="277" spans="1:4">
      <c r="A277" s="8" t="s">
        <v>46</v>
      </c>
      <c r="B277" s="8" t="s">
        <v>25</v>
      </c>
      <c r="C277" s="8" t="s">
        <v>34</v>
      </c>
      <c r="D277" s="8">
        <v>0.930987</v>
      </c>
    </row>
    <row r="278" spans="1:4">
      <c r="A278" s="8" t="s">
        <v>46</v>
      </c>
      <c r="B278" s="8" t="s">
        <v>25</v>
      </c>
      <c r="C278" s="8" t="s">
        <v>31</v>
      </c>
      <c r="D278" s="8">
        <v>0.931294</v>
      </c>
    </row>
    <row r="279" spans="1:4">
      <c r="A279" s="8" t="s">
        <v>46</v>
      </c>
      <c r="B279" s="8" t="s">
        <v>25</v>
      </c>
      <c r="C279" s="8" t="s">
        <v>32</v>
      </c>
      <c r="D279" s="8">
        <v>0.944697</v>
      </c>
    </row>
    <row r="280" spans="1:4">
      <c r="A280" s="8" t="s">
        <v>46</v>
      </c>
      <c r="B280" s="8" t="s">
        <v>25</v>
      </c>
      <c r="C280" s="8" t="s">
        <v>33</v>
      </c>
      <c r="D280" s="8">
        <v>0.951624</v>
      </c>
    </row>
    <row r="281" spans="1:4">
      <c r="A281" s="8" t="s">
        <v>46</v>
      </c>
      <c r="B281" s="8" t="s">
        <v>25</v>
      </c>
      <c r="C281" s="8" t="s">
        <v>27</v>
      </c>
      <c r="D281" s="8">
        <v>0.963768</v>
      </c>
    </row>
    <row r="282" spans="1:4">
      <c r="A282" s="8" t="s">
        <v>46</v>
      </c>
      <c r="B282" s="8" t="s">
        <v>25</v>
      </c>
      <c r="C282" s="8" t="s">
        <v>28</v>
      </c>
      <c r="D282" s="8">
        <v>0.962946</v>
      </c>
    </row>
    <row r="283" spans="1:4">
      <c r="A283" s="8" t="s">
        <v>46</v>
      </c>
      <c r="B283" s="8" t="s">
        <v>25</v>
      </c>
      <c r="C283" s="8" t="s">
        <v>29</v>
      </c>
      <c r="D283" s="8">
        <v>0.940062</v>
      </c>
    </row>
    <row r="284" spans="1:4">
      <c r="A284" s="8" t="s">
        <v>46</v>
      </c>
      <c r="B284" s="8" t="s">
        <v>25</v>
      </c>
      <c r="C284" s="8" t="s">
        <v>30</v>
      </c>
      <c r="D284" s="8">
        <v>0.95788</v>
      </c>
    </row>
    <row r="285" spans="1:4">
      <c r="A285" s="8" t="s">
        <v>46</v>
      </c>
      <c r="B285" s="8" t="s">
        <v>34</v>
      </c>
      <c r="C285" s="8" t="s">
        <v>31</v>
      </c>
      <c r="D285" s="8">
        <v>0.87746</v>
      </c>
    </row>
    <row r="286" spans="1:4">
      <c r="A286" s="8" t="s">
        <v>46</v>
      </c>
      <c r="B286" s="8" t="s">
        <v>34</v>
      </c>
      <c r="C286" s="8" t="s">
        <v>32</v>
      </c>
      <c r="D286" s="8">
        <v>0.886698</v>
      </c>
    </row>
    <row r="287" spans="1:4">
      <c r="A287" s="8" t="s">
        <v>46</v>
      </c>
      <c r="B287" s="8" t="s">
        <v>34</v>
      </c>
      <c r="C287" s="8" t="s">
        <v>33</v>
      </c>
      <c r="D287" s="8">
        <v>0.910503</v>
      </c>
    </row>
    <row r="288" spans="1:4">
      <c r="A288" s="8" t="s">
        <v>46</v>
      </c>
      <c r="B288" s="8" t="s">
        <v>34</v>
      </c>
      <c r="C288" s="8" t="s">
        <v>27</v>
      </c>
      <c r="D288" s="8">
        <v>0.913587</v>
      </c>
    </row>
    <row r="289" spans="1:4">
      <c r="A289" s="8" t="s">
        <v>46</v>
      </c>
      <c r="B289" s="8" t="s">
        <v>34</v>
      </c>
      <c r="C289" s="8" t="s">
        <v>28</v>
      </c>
      <c r="D289" s="8">
        <v>0.918929</v>
      </c>
    </row>
    <row r="290" spans="1:4">
      <c r="A290" s="8" t="s">
        <v>46</v>
      </c>
      <c r="B290" s="8" t="s">
        <v>34</v>
      </c>
      <c r="C290" s="8" t="s">
        <v>29</v>
      </c>
      <c r="D290" s="8">
        <v>0.914504</v>
      </c>
    </row>
    <row r="291" spans="1:4">
      <c r="A291" s="8" t="s">
        <v>46</v>
      </c>
      <c r="B291" s="8" t="s">
        <v>34</v>
      </c>
      <c r="C291" s="8" t="s">
        <v>30</v>
      </c>
      <c r="D291" s="8">
        <v>0.947609</v>
      </c>
    </row>
    <row r="292" spans="1:4">
      <c r="A292" s="8" t="s">
        <v>46</v>
      </c>
      <c r="B292" s="8" t="s">
        <v>31</v>
      </c>
      <c r="C292" s="8" t="s">
        <v>32</v>
      </c>
      <c r="D292" s="8">
        <v>0.98055</v>
      </c>
    </row>
    <row r="293" spans="1:4">
      <c r="A293" s="8" t="s">
        <v>46</v>
      </c>
      <c r="B293" s="8" t="s">
        <v>31</v>
      </c>
      <c r="C293" s="8" t="s">
        <v>33</v>
      </c>
      <c r="D293" s="8">
        <v>0.974746</v>
      </c>
    </row>
    <row r="294" spans="1:4">
      <c r="A294" s="8" t="s">
        <v>46</v>
      </c>
      <c r="B294" s="8" t="s">
        <v>31</v>
      </c>
      <c r="C294" s="8" t="s">
        <v>27</v>
      </c>
      <c r="D294" s="8">
        <v>0.969602</v>
      </c>
    </row>
    <row r="295" spans="1:4">
      <c r="A295" s="8" t="s">
        <v>46</v>
      </c>
      <c r="B295" s="8" t="s">
        <v>31</v>
      </c>
      <c r="C295" s="8" t="s">
        <v>28</v>
      </c>
      <c r="D295" s="8">
        <v>0.927537</v>
      </c>
    </row>
    <row r="296" spans="1:4">
      <c r="A296" s="8" t="s">
        <v>46</v>
      </c>
      <c r="B296" s="8" t="s">
        <v>31</v>
      </c>
      <c r="C296" s="8" t="s">
        <v>29</v>
      </c>
      <c r="D296" s="8">
        <v>0.958401</v>
      </c>
    </row>
    <row r="297" spans="1:4">
      <c r="A297" s="8" t="s">
        <v>46</v>
      </c>
      <c r="B297" s="8" t="s">
        <v>31</v>
      </c>
      <c r="C297" s="8" t="s">
        <v>30</v>
      </c>
      <c r="D297" s="8">
        <v>0.911769</v>
      </c>
    </row>
    <row r="298" spans="1:4">
      <c r="A298" s="8" t="s">
        <v>46</v>
      </c>
      <c r="B298" s="8" t="s">
        <v>32</v>
      </c>
      <c r="C298" s="8" t="s">
        <v>33</v>
      </c>
      <c r="D298" s="8">
        <v>0.976019</v>
      </c>
    </row>
    <row r="299" spans="1:4">
      <c r="A299" s="8" t="s">
        <v>46</v>
      </c>
      <c r="B299" s="8" t="s">
        <v>32</v>
      </c>
      <c r="C299" s="8" t="s">
        <v>27</v>
      </c>
      <c r="D299" s="8">
        <v>0.973613</v>
      </c>
    </row>
    <row r="300" spans="1:4">
      <c r="A300" s="8" t="s">
        <v>46</v>
      </c>
      <c r="B300" s="8" t="s">
        <v>32</v>
      </c>
      <c r="C300" s="8" t="s">
        <v>28</v>
      </c>
      <c r="D300" s="8">
        <v>0.941757</v>
      </c>
    </row>
    <row r="301" spans="1:4">
      <c r="A301" s="8" t="s">
        <v>46</v>
      </c>
      <c r="B301" s="8" t="s">
        <v>32</v>
      </c>
      <c r="C301" s="8" t="s">
        <v>29</v>
      </c>
      <c r="D301" s="8">
        <v>0.961562</v>
      </c>
    </row>
    <row r="302" spans="1:4">
      <c r="A302" s="8" t="s">
        <v>46</v>
      </c>
      <c r="B302" s="8" t="s">
        <v>32</v>
      </c>
      <c r="C302" s="8" t="s">
        <v>30</v>
      </c>
      <c r="D302" s="8">
        <v>0.92384</v>
      </c>
    </row>
    <row r="303" spans="1:4">
      <c r="A303" s="8" t="s">
        <v>46</v>
      </c>
      <c r="B303" s="8" t="s">
        <v>33</v>
      </c>
      <c r="C303" s="8" t="s">
        <v>27</v>
      </c>
      <c r="D303" s="8">
        <v>0.968083</v>
      </c>
    </row>
    <row r="304" spans="1:4">
      <c r="A304" s="8" t="s">
        <v>46</v>
      </c>
      <c r="B304" s="8" t="s">
        <v>33</v>
      </c>
      <c r="C304" s="8" t="s">
        <v>28</v>
      </c>
      <c r="D304" s="8">
        <v>0.957012</v>
      </c>
    </row>
    <row r="305" spans="1:4">
      <c r="A305" s="8" t="s">
        <v>46</v>
      </c>
      <c r="B305" s="8" t="s">
        <v>33</v>
      </c>
      <c r="C305" s="8" t="s">
        <v>29</v>
      </c>
      <c r="D305" s="8">
        <v>0.956825</v>
      </c>
    </row>
    <row r="306" spans="1:4">
      <c r="A306" s="8" t="s">
        <v>46</v>
      </c>
      <c r="B306" s="8" t="s">
        <v>33</v>
      </c>
      <c r="C306" s="8" t="s">
        <v>30</v>
      </c>
      <c r="D306" s="8">
        <v>0.926429</v>
      </c>
    </row>
    <row r="307" spans="1:4">
      <c r="A307" s="8" t="s">
        <v>46</v>
      </c>
      <c r="B307" s="8" t="s">
        <v>27</v>
      </c>
      <c r="C307" s="8" t="s">
        <v>28</v>
      </c>
      <c r="D307" s="8">
        <v>0.964542</v>
      </c>
    </row>
    <row r="308" spans="1:4">
      <c r="A308" s="8" t="s">
        <v>46</v>
      </c>
      <c r="B308" s="8" t="s">
        <v>27</v>
      </c>
      <c r="C308" s="8" t="s">
        <v>29</v>
      </c>
      <c r="D308" s="8">
        <v>0.956811</v>
      </c>
    </row>
    <row r="309" spans="1:4">
      <c r="A309" s="8" t="s">
        <v>46</v>
      </c>
      <c r="B309" s="8" t="s">
        <v>27</v>
      </c>
      <c r="C309" s="8" t="s">
        <v>30</v>
      </c>
      <c r="D309" s="8">
        <v>0.958865</v>
      </c>
    </row>
    <row r="310" spans="1:4">
      <c r="A310" s="8" t="s">
        <v>46</v>
      </c>
      <c r="B310" s="8" t="s">
        <v>28</v>
      </c>
      <c r="C310" s="8" t="s">
        <v>29</v>
      </c>
      <c r="D310" s="8">
        <v>0.923887</v>
      </c>
    </row>
    <row r="311" spans="1:4">
      <c r="A311" s="8" t="s">
        <v>46</v>
      </c>
      <c r="B311" s="8" t="s">
        <v>28</v>
      </c>
      <c r="C311" s="8" t="s">
        <v>30</v>
      </c>
      <c r="D311" s="8">
        <v>0.967171</v>
      </c>
    </row>
    <row r="312" spans="1:4">
      <c r="A312" s="8" t="s">
        <v>46</v>
      </c>
      <c r="B312" s="8" t="s">
        <v>29</v>
      </c>
      <c r="C312" s="8" t="s">
        <v>30</v>
      </c>
      <c r="D312" s="8">
        <v>0.926954</v>
      </c>
    </row>
    <row r="313" spans="1:4">
      <c r="A313" s="8" t="s">
        <v>47</v>
      </c>
      <c r="B313" s="8" t="s">
        <v>26</v>
      </c>
      <c r="C313" s="8" t="s">
        <v>24</v>
      </c>
      <c r="D313" s="8">
        <v>0.903325</v>
      </c>
    </row>
    <row r="314" spans="1:4">
      <c r="A314" s="8" t="s">
        <v>47</v>
      </c>
      <c r="B314" s="8" t="s">
        <v>26</v>
      </c>
      <c r="C314" s="8" t="s">
        <v>25</v>
      </c>
      <c r="D314" s="8">
        <v>0.962259</v>
      </c>
    </row>
    <row r="315" spans="1:4">
      <c r="A315" s="8" t="s">
        <v>47</v>
      </c>
      <c r="B315" s="8" t="s">
        <v>26</v>
      </c>
      <c r="C315" s="8" t="s">
        <v>34</v>
      </c>
      <c r="D315" s="8">
        <v>0.961398</v>
      </c>
    </row>
    <row r="316" spans="1:4">
      <c r="A316" s="8" t="s">
        <v>47</v>
      </c>
      <c r="B316" s="8" t="s">
        <v>26</v>
      </c>
      <c r="C316" s="8" t="s">
        <v>31</v>
      </c>
      <c r="D316" s="8">
        <v>0.979534</v>
      </c>
    </row>
    <row r="317" spans="1:4">
      <c r="A317" s="8" t="s">
        <v>47</v>
      </c>
      <c r="B317" s="8" t="s">
        <v>26</v>
      </c>
      <c r="C317" s="8" t="s">
        <v>32</v>
      </c>
      <c r="D317" s="8">
        <v>0.964845</v>
      </c>
    </row>
    <row r="318" spans="1:4">
      <c r="A318" s="8" t="s">
        <v>47</v>
      </c>
      <c r="B318" s="8" t="s">
        <v>26</v>
      </c>
      <c r="C318" s="8" t="s">
        <v>33</v>
      </c>
      <c r="D318" s="8">
        <v>0.972658</v>
      </c>
    </row>
    <row r="319" spans="1:4">
      <c r="A319" s="8" t="s">
        <v>47</v>
      </c>
      <c r="B319" s="8" t="s">
        <v>26</v>
      </c>
      <c r="C319" s="8" t="s">
        <v>27</v>
      </c>
      <c r="D319" s="8">
        <v>0.958956</v>
      </c>
    </row>
    <row r="320" spans="1:4">
      <c r="A320" s="8" t="s">
        <v>47</v>
      </c>
      <c r="B320" s="8" t="s">
        <v>26</v>
      </c>
      <c r="C320" s="8" t="s">
        <v>28</v>
      </c>
      <c r="D320" s="8">
        <v>0.959838</v>
      </c>
    </row>
    <row r="321" spans="1:4">
      <c r="A321" s="8" t="s">
        <v>47</v>
      </c>
      <c r="B321" s="8" t="s">
        <v>26</v>
      </c>
      <c r="C321" s="8" t="s">
        <v>29</v>
      </c>
      <c r="D321" s="8">
        <v>0.942789</v>
      </c>
    </row>
    <row r="322" spans="1:4">
      <c r="A322" s="8" t="s">
        <v>47</v>
      </c>
      <c r="B322" s="8" t="s">
        <v>26</v>
      </c>
      <c r="C322" s="8" t="s">
        <v>30</v>
      </c>
      <c r="D322" s="8">
        <v>0.969476</v>
      </c>
    </row>
    <row r="323" spans="1:4">
      <c r="A323" s="8" t="s">
        <v>47</v>
      </c>
      <c r="B323" s="8" t="s">
        <v>24</v>
      </c>
      <c r="C323" s="8" t="s">
        <v>25</v>
      </c>
      <c r="D323" s="8">
        <v>0.88676</v>
      </c>
    </row>
    <row r="324" spans="1:4">
      <c r="A324" s="8" t="s">
        <v>47</v>
      </c>
      <c r="B324" s="8" t="s">
        <v>24</v>
      </c>
      <c r="C324" s="8" t="s">
        <v>34</v>
      </c>
      <c r="D324" s="8">
        <v>0.89549</v>
      </c>
    </row>
    <row r="325" spans="1:4">
      <c r="A325" s="8" t="s">
        <v>47</v>
      </c>
      <c r="B325" s="8" t="s">
        <v>24</v>
      </c>
      <c r="C325" s="8" t="s">
        <v>31</v>
      </c>
      <c r="D325" s="8">
        <v>0.909952</v>
      </c>
    </row>
    <row r="326" spans="1:4">
      <c r="A326" s="8" t="s">
        <v>47</v>
      </c>
      <c r="B326" s="8" t="s">
        <v>24</v>
      </c>
      <c r="C326" s="8" t="s">
        <v>32</v>
      </c>
      <c r="D326" s="8">
        <v>0.920066</v>
      </c>
    </row>
    <row r="327" spans="1:4">
      <c r="A327" s="8" t="s">
        <v>47</v>
      </c>
      <c r="B327" s="8" t="s">
        <v>24</v>
      </c>
      <c r="C327" s="8" t="s">
        <v>33</v>
      </c>
      <c r="D327" s="8">
        <v>0.918337</v>
      </c>
    </row>
    <row r="328" spans="1:4">
      <c r="A328" s="8" t="s">
        <v>47</v>
      </c>
      <c r="B328" s="8" t="s">
        <v>24</v>
      </c>
      <c r="C328" s="8" t="s">
        <v>27</v>
      </c>
      <c r="D328" s="8">
        <v>0.909337</v>
      </c>
    </row>
    <row r="329" spans="1:4">
      <c r="A329" s="8" t="s">
        <v>47</v>
      </c>
      <c r="B329" s="8" t="s">
        <v>24</v>
      </c>
      <c r="C329" s="8" t="s">
        <v>28</v>
      </c>
      <c r="D329" s="8">
        <v>0.908037</v>
      </c>
    </row>
    <row r="330" spans="1:4">
      <c r="A330" s="8" t="s">
        <v>47</v>
      </c>
      <c r="B330" s="8" t="s">
        <v>24</v>
      </c>
      <c r="C330" s="8" t="s">
        <v>29</v>
      </c>
      <c r="D330" s="8">
        <v>0.883647</v>
      </c>
    </row>
    <row r="331" spans="1:4">
      <c r="A331" s="8" t="s">
        <v>47</v>
      </c>
      <c r="B331" s="8" t="s">
        <v>24</v>
      </c>
      <c r="C331" s="8" t="s">
        <v>30</v>
      </c>
      <c r="D331" s="8">
        <v>0.911436</v>
      </c>
    </row>
    <row r="332" spans="1:4">
      <c r="A332" s="8" t="s">
        <v>47</v>
      </c>
      <c r="B332" s="8" t="s">
        <v>25</v>
      </c>
      <c r="C332" s="8" t="s">
        <v>34</v>
      </c>
      <c r="D332" s="8">
        <v>0.958918</v>
      </c>
    </row>
    <row r="333" spans="1:4">
      <c r="A333" s="8" t="s">
        <v>47</v>
      </c>
      <c r="B333" s="8" t="s">
        <v>25</v>
      </c>
      <c r="C333" s="8" t="s">
        <v>31</v>
      </c>
      <c r="D333" s="8">
        <v>0.964492</v>
      </c>
    </row>
    <row r="334" spans="1:4">
      <c r="A334" s="8" t="s">
        <v>47</v>
      </c>
      <c r="B334" s="8" t="s">
        <v>25</v>
      </c>
      <c r="C334" s="8" t="s">
        <v>32</v>
      </c>
      <c r="D334" s="8">
        <v>0.947777</v>
      </c>
    </row>
    <row r="335" spans="1:4">
      <c r="A335" s="8" t="s">
        <v>47</v>
      </c>
      <c r="B335" s="8" t="s">
        <v>25</v>
      </c>
      <c r="C335" s="8" t="s">
        <v>33</v>
      </c>
      <c r="D335" s="8">
        <v>0.955104</v>
      </c>
    </row>
    <row r="336" spans="1:4">
      <c r="A336" s="8" t="s">
        <v>47</v>
      </c>
      <c r="B336" s="8" t="s">
        <v>25</v>
      </c>
      <c r="C336" s="8" t="s">
        <v>27</v>
      </c>
      <c r="D336" s="8">
        <v>0.963734</v>
      </c>
    </row>
    <row r="337" spans="1:4">
      <c r="A337" s="8" t="s">
        <v>47</v>
      </c>
      <c r="B337" s="8" t="s">
        <v>25</v>
      </c>
      <c r="C337" s="8" t="s">
        <v>28</v>
      </c>
      <c r="D337" s="8">
        <v>0.966048</v>
      </c>
    </row>
    <row r="338" spans="1:4">
      <c r="A338" s="8" t="s">
        <v>47</v>
      </c>
      <c r="B338" s="8" t="s">
        <v>25</v>
      </c>
      <c r="C338" s="8" t="s">
        <v>29</v>
      </c>
      <c r="D338" s="8">
        <v>0.944467</v>
      </c>
    </row>
    <row r="339" spans="1:4">
      <c r="A339" s="8" t="s">
        <v>47</v>
      </c>
      <c r="B339" s="8" t="s">
        <v>25</v>
      </c>
      <c r="C339" s="8" t="s">
        <v>30</v>
      </c>
      <c r="D339" s="8">
        <v>0.962384</v>
      </c>
    </row>
    <row r="340" spans="1:4">
      <c r="A340" s="8" t="s">
        <v>47</v>
      </c>
      <c r="B340" s="8" t="s">
        <v>34</v>
      </c>
      <c r="C340" s="8" t="s">
        <v>31</v>
      </c>
      <c r="D340" s="8">
        <v>0.962254</v>
      </c>
    </row>
    <row r="341" spans="1:4">
      <c r="A341" s="8" t="s">
        <v>47</v>
      </c>
      <c r="B341" s="8" t="s">
        <v>34</v>
      </c>
      <c r="C341" s="8" t="s">
        <v>32</v>
      </c>
      <c r="D341" s="8">
        <v>0.968575</v>
      </c>
    </row>
    <row r="342" spans="1:4">
      <c r="A342" s="8" t="s">
        <v>47</v>
      </c>
      <c r="B342" s="8" t="s">
        <v>34</v>
      </c>
      <c r="C342" s="8" t="s">
        <v>33</v>
      </c>
      <c r="D342" s="8">
        <v>0.965228</v>
      </c>
    </row>
    <row r="343" spans="1:4">
      <c r="A343" s="8" t="s">
        <v>47</v>
      </c>
      <c r="B343" s="8" t="s">
        <v>34</v>
      </c>
      <c r="C343" s="8" t="s">
        <v>27</v>
      </c>
      <c r="D343" s="8">
        <v>0.94022</v>
      </c>
    </row>
    <row r="344" spans="1:4">
      <c r="A344" s="8" t="s">
        <v>47</v>
      </c>
      <c r="B344" s="8" t="s">
        <v>34</v>
      </c>
      <c r="C344" s="8" t="s">
        <v>28</v>
      </c>
      <c r="D344" s="8">
        <v>0.953241</v>
      </c>
    </row>
    <row r="345" spans="1:4">
      <c r="A345" s="8" t="s">
        <v>47</v>
      </c>
      <c r="B345" s="8" t="s">
        <v>34</v>
      </c>
      <c r="C345" s="8" t="s">
        <v>29</v>
      </c>
      <c r="D345" s="8">
        <v>0.920139</v>
      </c>
    </row>
    <row r="346" spans="1:4">
      <c r="A346" s="8" t="s">
        <v>47</v>
      </c>
      <c r="B346" s="8" t="s">
        <v>34</v>
      </c>
      <c r="C346" s="8" t="s">
        <v>30</v>
      </c>
      <c r="D346" s="8">
        <v>0.954555</v>
      </c>
    </row>
    <row r="347" spans="1:4">
      <c r="A347" s="8" t="s">
        <v>47</v>
      </c>
      <c r="B347" s="8" t="s">
        <v>31</v>
      </c>
      <c r="C347" s="8" t="s">
        <v>32</v>
      </c>
      <c r="D347" s="8">
        <v>0.975771</v>
      </c>
    </row>
    <row r="348" spans="1:4">
      <c r="A348" s="8" t="s">
        <v>47</v>
      </c>
      <c r="B348" s="8" t="s">
        <v>31</v>
      </c>
      <c r="C348" s="8" t="s">
        <v>33</v>
      </c>
      <c r="D348" s="8">
        <v>0.970126</v>
      </c>
    </row>
    <row r="349" spans="1:4">
      <c r="A349" s="8" t="s">
        <v>47</v>
      </c>
      <c r="B349" s="8" t="s">
        <v>31</v>
      </c>
      <c r="C349" s="8" t="s">
        <v>27</v>
      </c>
      <c r="D349" s="8">
        <v>0.961551</v>
      </c>
    </row>
    <row r="350" spans="1:4">
      <c r="A350" s="8" t="s">
        <v>47</v>
      </c>
      <c r="B350" s="8" t="s">
        <v>31</v>
      </c>
      <c r="C350" s="8" t="s">
        <v>28</v>
      </c>
      <c r="D350" s="8">
        <v>0.969881</v>
      </c>
    </row>
    <row r="351" spans="1:4">
      <c r="A351" s="8" t="s">
        <v>47</v>
      </c>
      <c r="B351" s="8" t="s">
        <v>31</v>
      </c>
      <c r="C351" s="8" t="s">
        <v>29</v>
      </c>
      <c r="D351" s="8">
        <v>0.935573</v>
      </c>
    </row>
    <row r="352" spans="1:4">
      <c r="A352" s="8" t="s">
        <v>47</v>
      </c>
      <c r="B352" s="8" t="s">
        <v>31</v>
      </c>
      <c r="C352" s="8" t="s">
        <v>30</v>
      </c>
      <c r="D352" s="8">
        <v>0.959393</v>
      </c>
    </row>
    <row r="353" spans="1:4">
      <c r="A353" s="8" t="s">
        <v>47</v>
      </c>
      <c r="B353" s="8" t="s">
        <v>32</v>
      </c>
      <c r="C353" s="8" t="s">
        <v>33</v>
      </c>
      <c r="D353" s="8">
        <v>0.983215</v>
      </c>
    </row>
    <row r="354" spans="1:4">
      <c r="A354" s="8" t="s">
        <v>47</v>
      </c>
      <c r="B354" s="8" t="s">
        <v>32</v>
      </c>
      <c r="C354" s="8" t="s">
        <v>27</v>
      </c>
      <c r="D354" s="8">
        <v>0.961159</v>
      </c>
    </row>
    <row r="355" spans="1:4">
      <c r="A355" s="8" t="s">
        <v>47</v>
      </c>
      <c r="B355" s="8" t="s">
        <v>32</v>
      </c>
      <c r="C355" s="8" t="s">
        <v>28</v>
      </c>
      <c r="D355" s="8">
        <v>0.967736</v>
      </c>
    </row>
    <row r="356" spans="1:4">
      <c r="A356" s="8" t="s">
        <v>47</v>
      </c>
      <c r="B356" s="8" t="s">
        <v>32</v>
      </c>
      <c r="C356" s="8" t="s">
        <v>29</v>
      </c>
      <c r="D356" s="8">
        <v>0.941888</v>
      </c>
    </row>
    <row r="357" spans="1:4">
      <c r="A357" s="8" t="s">
        <v>47</v>
      </c>
      <c r="B357" s="8" t="s">
        <v>32</v>
      </c>
      <c r="C357" s="8" t="s">
        <v>30</v>
      </c>
      <c r="D357" s="8">
        <v>0.964871</v>
      </c>
    </row>
    <row r="358" spans="1:4">
      <c r="A358" s="8" t="s">
        <v>47</v>
      </c>
      <c r="B358" s="8" t="s">
        <v>33</v>
      </c>
      <c r="C358" s="8" t="s">
        <v>27</v>
      </c>
      <c r="D358" s="8">
        <v>0.968856</v>
      </c>
    </row>
    <row r="359" spans="1:4">
      <c r="A359" s="8" t="s">
        <v>47</v>
      </c>
      <c r="B359" s="8" t="s">
        <v>33</v>
      </c>
      <c r="C359" s="8" t="s">
        <v>28</v>
      </c>
      <c r="D359" s="8">
        <v>0.964802</v>
      </c>
    </row>
    <row r="360" spans="1:4">
      <c r="A360" s="8" t="s">
        <v>47</v>
      </c>
      <c r="B360" s="8" t="s">
        <v>33</v>
      </c>
      <c r="C360" s="8" t="s">
        <v>29</v>
      </c>
      <c r="D360" s="8">
        <v>0.94612</v>
      </c>
    </row>
    <row r="361" spans="1:4">
      <c r="A361" s="8" t="s">
        <v>47</v>
      </c>
      <c r="B361" s="8" t="s">
        <v>33</v>
      </c>
      <c r="C361" s="8" t="s">
        <v>30</v>
      </c>
      <c r="D361" s="8">
        <v>0.979797</v>
      </c>
    </row>
    <row r="362" spans="1:4">
      <c r="A362" s="8" t="s">
        <v>47</v>
      </c>
      <c r="B362" s="8" t="s">
        <v>27</v>
      </c>
      <c r="C362" s="8" t="s">
        <v>28</v>
      </c>
      <c r="D362" s="8">
        <v>0.9664</v>
      </c>
    </row>
    <row r="363" spans="1:4">
      <c r="A363" s="8" t="s">
        <v>47</v>
      </c>
      <c r="B363" s="8" t="s">
        <v>27</v>
      </c>
      <c r="C363" s="8" t="s">
        <v>29</v>
      </c>
      <c r="D363" s="8">
        <v>0.959699</v>
      </c>
    </row>
    <row r="364" spans="1:4">
      <c r="A364" s="8" t="s">
        <v>47</v>
      </c>
      <c r="B364" s="8" t="s">
        <v>27</v>
      </c>
      <c r="C364" s="8" t="s">
        <v>30</v>
      </c>
      <c r="D364" s="8">
        <v>0.972643</v>
      </c>
    </row>
    <row r="365" spans="1:4">
      <c r="A365" s="8" t="s">
        <v>47</v>
      </c>
      <c r="B365" s="8" t="s">
        <v>28</v>
      </c>
      <c r="C365" s="8" t="s">
        <v>29</v>
      </c>
      <c r="D365" s="8">
        <v>0.966969</v>
      </c>
    </row>
    <row r="366" spans="1:4">
      <c r="A366" s="8" t="s">
        <v>47</v>
      </c>
      <c r="B366" s="8" t="s">
        <v>28</v>
      </c>
      <c r="C366" s="8" t="s">
        <v>30</v>
      </c>
      <c r="D366" s="8">
        <v>0.96405</v>
      </c>
    </row>
    <row r="367" spans="1:4">
      <c r="A367" s="8" t="s">
        <v>47</v>
      </c>
      <c r="B367" s="8" t="s">
        <v>29</v>
      </c>
      <c r="C367" s="8" t="s">
        <v>30</v>
      </c>
      <c r="D367" s="8">
        <v>0.964177</v>
      </c>
    </row>
    <row r="368" spans="1:4">
      <c r="A368" s="8" t="s">
        <v>48</v>
      </c>
      <c r="B368" s="8" t="s">
        <v>26</v>
      </c>
      <c r="C368" s="8" t="s">
        <v>24</v>
      </c>
      <c r="D368" s="8">
        <v>0.947316</v>
      </c>
    </row>
    <row r="369" spans="1:4">
      <c r="A369" s="8" t="s">
        <v>48</v>
      </c>
      <c r="B369" s="8" t="s">
        <v>26</v>
      </c>
      <c r="C369" s="8" t="s">
        <v>25</v>
      </c>
      <c r="D369" s="8">
        <v>0.971317</v>
      </c>
    </row>
    <row r="370" spans="1:4">
      <c r="A370" s="8" t="s">
        <v>48</v>
      </c>
      <c r="B370" s="8" t="s">
        <v>26</v>
      </c>
      <c r="C370" s="8" t="s">
        <v>34</v>
      </c>
      <c r="D370" s="8">
        <v>0.928807</v>
      </c>
    </row>
    <row r="371" spans="1:4">
      <c r="A371" s="8" t="s">
        <v>48</v>
      </c>
      <c r="B371" s="8" t="s">
        <v>26</v>
      </c>
      <c r="C371" s="8" t="s">
        <v>31</v>
      </c>
      <c r="D371" s="8">
        <v>0.962378</v>
      </c>
    </row>
    <row r="372" spans="1:4">
      <c r="A372" s="8" t="s">
        <v>48</v>
      </c>
      <c r="B372" s="8" t="s">
        <v>26</v>
      </c>
      <c r="C372" s="8" t="s">
        <v>32</v>
      </c>
      <c r="D372" s="8">
        <v>0.980832</v>
      </c>
    </row>
    <row r="373" spans="1:4">
      <c r="A373" s="8" t="s">
        <v>48</v>
      </c>
      <c r="B373" s="8" t="s">
        <v>26</v>
      </c>
      <c r="C373" s="8" t="s">
        <v>33</v>
      </c>
      <c r="D373" s="8">
        <v>0.951528</v>
      </c>
    </row>
    <row r="374" spans="1:4">
      <c r="A374" s="8" t="s">
        <v>48</v>
      </c>
      <c r="B374" s="8" t="s">
        <v>26</v>
      </c>
      <c r="C374" s="8" t="s">
        <v>27</v>
      </c>
      <c r="D374" s="8">
        <v>0.922226</v>
      </c>
    </row>
    <row r="375" spans="1:4">
      <c r="A375" s="8" t="s">
        <v>48</v>
      </c>
      <c r="B375" s="8" t="s">
        <v>26</v>
      </c>
      <c r="C375" s="8" t="s">
        <v>28</v>
      </c>
      <c r="D375" s="8">
        <v>0.972459</v>
      </c>
    </row>
    <row r="376" spans="1:4">
      <c r="A376" s="8" t="s">
        <v>48</v>
      </c>
      <c r="B376" s="8" t="s">
        <v>26</v>
      </c>
      <c r="C376" s="8" t="s">
        <v>29</v>
      </c>
      <c r="D376" s="8">
        <v>0.908957</v>
      </c>
    </row>
    <row r="377" spans="1:4">
      <c r="A377" s="8" t="s">
        <v>48</v>
      </c>
      <c r="B377" s="8" t="s">
        <v>26</v>
      </c>
      <c r="C377" s="8" t="s">
        <v>30</v>
      </c>
      <c r="D377" s="8">
        <v>0.933518</v>
      </c>
    </row>
    <row r="378" spans="1:4">
      <c r="A378" s="8" t="s">
        <v>48</v>
      </c>
      <c r="B378" s="8" t="s">
        <v>24</v>
      </c>
      <c r="C378" s="8" t="s">
        <v>25</v>
      </c>
      <c r="D378" s="8">
        <v>0.931007</v>
      </c>
    </row>
    <row r="379" spans="1:4">
      <c r="A379" s="8" t="s">
        <v>48</v>
      </c>
      <c r="B379" s="8" t="s">
        <v>24</v>
      </c>
      <c r="C379" s="8" t="s">
        <v>34</v>
      </c>
      <c r="D379" s="8">
        <v>0.939858</v>
      </c>
    </row>
    <row r="380" spans="1:4">
      <c r="A380" s="8" t="s">
        <v>48</v>
      </c>
      <c r="B380" s="8" t="s">
        <v>24</v>
      </c>
      <c r="C380" s="8" t="s">
        <v>31</v>
      </c>
      <c r="D380" s="8">
        <v>0.953364</v>
      </c>
    </row>
    <row r="381" spans="1:4">
      <c r="A381" s="8" t="s">
        <v>48</v>
      </c>
      <c r="B381" s="8" t="s">
        <v>24</v>
      </c>
      <c r="C381" s="8" t="s">
        <v>32</v>
      </c>
      <c r="D381" s="8">
        <v>0.946674</v>
      </c>
    </row>
    <row r="382" spans="1:4">
      <c r="A382" s="8" t="s">
        <v>48</v>
      </c>
      <c r="B382" s="8" t="s">
        <v>24</v>
      </c>
      <c r="C382" s="8" t="s">
        <v>33</v>
      </c>
      <c r="D382" s="8">
        <v>0.936213</v>
      </c>
    </row>
    <row r="383" spans="1:4">
      <c r="A383" s="8" t="s">
        <v>48</v>
      </c>
      <c r="B383" s="8" t="s">
        <v>24</v>
      </c>
      <c r="C383" s="8" t="s">
        <v>27</v>
      </c>
      <c r="D383" s="8">
        <v>0.937478</v>
      </c>
    </row>
    <row r="384" spans="1:4">
      <c r="A384" s="8" t="s">
        <v>48</v>
      </c>
      <c r="B384" s="8" t="s">
        <v>24</v>
      </c>
      <c r="C384" s="8" t="s">
        <v>28</v>
      </c>
      <c r="D384" s="8">
        <v>0.936378</v>
      </c>
    </row>
    <row r="385" spans="1:4">
      <c r="A385" s="8" t="s">
        <v>48</v>
      </c>
      <c r="B385" s="8" t="s">
        <v>24</v>
      </c>
      <c r="C385" s="8" t="s">
        <v>29</v>
      </c>
      <c r="D385" s="8">
        <v>0.939632</v>
      </c>
    </row>
    <row r="386" spans="1:4">
      <c r="A386" s="8" t="s">
        <v>48</v>
      </c>
      <c r="B386" s="8" t="s">
        <v>24</v>
      </c>
      <c r="C386" s="8" t="s">
        <v>30</v>
      </c>
      <c r="D386" s="8">
        <v>0.918295</v>
      </c>
    </row>
    <row r="387" spans="1:4">
      <c r="A387" s="8" t="s">
        <v>48</v>
      </c>
      <c r="B387" s="8" t="s">
        <v>25</v>
      </c>
      <c r="C387" s="8" t="s">
        <v>34</v>
      </c>
      <c r="D387" s="8">
        <v>0.939152</v>
      </c>
    </row>
    <row r="388" spans="1:4">
      <c r="A388" s="8" t="s">
        <v>48</v>
      </c>
      <c r="B388" s="8" t="s">
        <v>25</v>
      </c>
      <c r="C388" s="8" t="s">
        <v>31</v>
      </c>
      <c r="D388" s="8">
        <v>0.950376</v>
      </c>
    </row>
    <row r="389" spans="1:4">
      <c r="A389" s="8" t="s">
        <v>48</v>
      </c>
      <c r="B389" s="8" t="s">
        <v>25</v>
      </c>
      <c r="C389" s="8" t="s">
        <v>32</v>
      </c>
      <c r="D389" s="8">
        <v>0.975222</v>
      </c>
    </row>
    <row r="390" spans="1:4">
      <c r="A390" s="8" t="s">
        <v>48</v>
      </c>
      <c r="B390" s="8" t="s">
        <v>25</v>
      </c>
      <c r="C390" s="8" t="s">
        <v>33</v>
      </c>
      <c r="D390" s="8">
        <v>0.959127</v>
      </c>
    </row>
    <row r="391" spans="1:4">
      <c r="A391" s="8" t="s">
        <v>48</v>
      </c>
      <c r="B391" s="8" t="s">
        <v>25</v>
      </c>
      <c r="C391" s="8" t="s">
        <v>27</v>
      </c>
      <c r="D391" s="8">
        <v>0.910901</v>
      </c>
    </row>
    <row r="392" spans="1:4">
      <c r="A392" s="8" t="s">
        <v>48</v>
      </c>
      <c r="B392" s="8" t="s">
        <v>25</v>
      </c>
      <c r="C392" s="8" t="s">
        <v>28</v>
      </c>
      <c r="D392" s="8">
        <v>0.971015</v>
      </c>
    </row>
    <row r="393" spans="1:4">
      <c r="A393" s="8" t="s">
        <v>48</v>
      </c>
      <c r="B393" s="8" t="s">
        <v>25</v>
      </c>
      <c r="C393" s="8" t="s">
        <v>29</v>
      </c>
      <c r="D393" s="8">
        <v>0.927636</v>
      </c>
    </row>
    <row r="394" spans="1:4">
      <c r="A394" s="8" t="s">
        <v>48</v>
      </c>
      <c r="B394" s="8" t="s">
        <v>25</v>
      </c>
      <c r="C394" s="8" t="s">
        <v>30</v>
      </c>
      <c r="D394" s="8">
        <v>0.94644</v>
      </c>
    </row>
    <row r="395" spans="1:4">
      <c r="A395" s="8" t="s">
        <v>48</v>
      </c>
      <c r="B395" s="8" t="s">
        <v>34</v>
      </c>
      <c r="C395" s="8" t="s">
        <v>31</v>
      </c>
      <c r="D395" s="8">
        <v>0.91328</v>
      </c>
    </row>
    <row r="396" spans="1:4">
      <c r="A396" s="8" t="s">
        <v>48</v>
      </c>
      <c r="B396" s="8" t="s">
        <v>34</v>
      </c>
      <c r="C396" s="8" t="s">
        <v>32</v>
      </c>
      <c r="D396" s="8">
        <v>0.93253</v>
      </c>
    </row>
    <row r="397" spans="1:4">
      <c r="A397" s="8" t="s">
        <v>48</v>
      </c>
      <c r="B397" s="8" t="s">
        <v>34</v>
      </c>
      <c r="C397" s="8" t="s">
        <v>33</v>
      </c>
      <c r="D397" s="8">
        <v>0.904965</v>
      </c>
    </row>
    <row r="398" spans="1:4">
      <c r="A398" s="8" t="s">
        <v>48</v>
      </c>
      <c r="B398" s="8" t="s">
        <v>34</v>
      </c>
      <c r="C398" s="8" t="s">
        <v>27</v>
      </c>
      <c r="D398" s="8">
        <v>0.926173</v>
      </c>
    </row>
    <row r="399" spans="1:4">
      <c r="A399" s="8" t="s">
        <v>48</v>
      </c>
      <c r="B399" s="8" t="s">
        <v>34</v>
      </c>
      <c r="C399" s="8" t="s">
        <v>28</v>
      </c>
      <c r="D399" s="8">
        <v>0.939008</v>
      </c>
    </row>
    <row r="400" spans="1:4">
      <c r="A400" s="8" t="s">
        <v>48</v>
      </c>
      <c r="B400" s="8" t="s">
        <v>34</v>
      </c>
      <c r="C400" s="8" t="s">
        <v>29</v>
      </c>
      <c r="D400" s="8">
        <v>0.945645</v>
      </c>
    </row>
    <row r="401" spans="1:4">
      <c r="A401" s="8" t="s">
        <v>48</v>
      </c>
      <c r="B401" s="8" t="s">
        <v>34</v>
      </c>
      <c r="C401" s="8" t="s">
        <v>30</v>
      </c>
      <c r="D401" s="8">
        <v>0.928604</v>
      </c>
    </row>
    <row r="402" spans="1:4">
      <c r="A402" s="8" t="s">
        <v>48</v>
      </c>
      <c r="B402" s="8" t="s">
        <v>31</v>
      </c>
      <c r="C402" s="8" t="s">
        <v>32</v>
      </c>
      <c r="D402" s="8">
        <v>0.965195</v>
      </c>
    </row>
    <row r="403" spans="1:4">
      <c r="A403" s="8" t="s">
        <v>48</v>
      </c>
      <c r="B403" s="8" t="s">
        <v>31</v>
      </c>
      <c r="C403" s="8" t="s">
        <v>33</v>
      </c>
      <c r="D403" s="8">
        <v>0.964283</v>
      </c>
    </row>
    <row r="404" spans="1:4">
      <c r="A404" s="8" t="s">
        <v>48</v>
      </c>
      <c r="B404" s="8" t="s">
        <v>31</v>
      </c>
      <c r="C404" s="8" t="s">
        <v>27</v>
      </c>
      <c r="D404" s="8">
        <v>0.929254</v>
      </c>
    </row>
    <row r="405" spans="1:4">
      <c r="A405" s="8" t="s">
        <v>48</v>
      </c>
      <c r="B405" s="8" t="s">
        <v>31</v>
      </c>
      <c r="C405" s="8" t="s">
        <v>28</v>
      </c>
      <c r="D405" s="8">
        <v>0.938178</v>
      </c>
    </row>
    <row r="406" spans="1:4">
      <c r="A406" s="8" t="s">
        <v>48</v>
      </c>
      <c r="B406" s="8" t="s">
        <v>31</v>
      </c>
      <c r="C406" s="8" t="s">
        <v>29</v>
      </c>
      <c r="D406" s="8">
        <v>0.921032</v>
      </c>
    </row>
    <row r="407" spans="1:4">
      <c r="A407" s="8" t="s">
        <v>48</v>
      </c>
      <c r="B407" s="8" t="s">
        <v>31</v>
      </c>
      <c r="C407" s="8" t="s">
        <v>30</v>
      </c>
      <c r="D407" s="8">
        <v>0.897396</v>
      </c>
    </row>
    <row r="408" spans="1:4">
      <c r="A408" s="8" t="s">
        <v>48</v>
      </c>
      <c r="B408" s="8" t="s">
        <v>32</v>
      </c>
      <c r="C408" s="8" t="s">
        <v>33</v>
      </c>
      <c r="D408" s="8">
        <v>0.967773</v>
      </c>
    </row>
    <row r="409" spans="1:4">
      <c r="A409" s="8" t="s">
        <v>48</v>
      </c>
      <c r="B409" s="8" t="s">
        <v>32</v>
      </c>
      <c r="C409" s="8" t="s">
        <v>27</v>
      </c>
      <c r="D409" s="8">
        <v>0.916699</v>
      </c>
    </row>
    <row r="410" spans="1:4">
      <c r="A410" s="8" t="s">
        <v>48</v>
      </c>
      <c r="B410" s="8" t="s">
        <v>32</v>
      </c>
      <c r="C410" s="8" t="s">
        <v>28</v>
      </c>
      <c r="D410" s="8">
        <v>0.97596</v>
      </c>
    </row>
    <row r="411" spans="1:4">
      <c r="A411" s="8" t="s">
        <v>48</v>
      </c>
      <c r="B411" s="8" t="s">
        <v>32</v>
      </c>
      <c r="C411" s="8" t="s">
        <v>29</v>
      </c>
      <c r="D411" s="8">
        <v>0.922322</v>
      </c>
    </row>
    <row r="412" spans="1:4">
      <c r="A412" s="8" t="s">
        <v>48</v>
      </c>
      <c r="B412" s="8" t="s">
        <v>32</v>
      </c>
      <c r="C412" s="8" t="s">
        <v>30</v>
      </c>
      <c r="D412" s="8">
        <v>0.936593</v>
      </c>
    </row>
    <row r="413" spans="1:4">
      <c r="A413" s="8" t="s">
        <v>48</v>
      </c>
      <c r="B413" s="8" t="s">
        <v>33</v>
      </c>
      <c r="C413" s="8" t="s">
        <v>27</v>
      </c>
      <c r="D413" s="8">
        <v>0.89511</v>
      </c>
    </row>
    <row r="414" spans="1:4">
      <c r="A414" s="8" t="s">
        <v>48</v>
      </c>
      <c r="B414" s="8" t="s">
        <v>33</v>
      </c>
      <c r="C414" s="8" t="s">
        <v>28</v>
      </c>
      <c r="D414" s="8">
        <v>0.931788</v>
      </c>
    </row>
    <row r="415" spans="1:4">
      <c r="A415" s="8" t="s">
        <v>48</v>
      </c>
      <c r="B415" s="8" t="s">
        <v>33</v>
      </c>
      <c r="C415" s="8" t="s">
        <v>29</v>
      </c>
      <c r="D415" s="8">
        <v>0.91704</v>
      </c>
    </row>
    <row r="416" spans="1:4">
      <c r="A416" s="8" t="s">
        <v>48</v>
      </c>
      <c r="B416" s="8" t="s">
        <v>33</v>
      </c>
      <c r="C416" s="8" t="s">
        <v>30</v>
      </c>
      <c r="D416" s="8">
        <v>0.907449</v>
      </c>
    </row>
    <row r="417" spans="1:4">
      <c r="A417" s="8" t="s">
        <v>48</v>
      </c>
      <c r="B417" s="8" t="s">
        <v>27</v>
      </c>
      <c r="C417" s="8" t="s">
        <v>28</v>
      </c>
      <c r="D417" s="8">
        <v>0.918848</v>
      </c>
    </row>
    <row r="418" spans="1:4">
      <c r="A418" s="8" t="s">
        <v>48</v>
      </c>
      <c r="B418" s="8" t="s">
        <v>27</v>
      </c>
      <c r="C418" s="8" t="s">
        <v>29</v>
      </c>
      <c r="D418" s="8">
        <v>0.914263</v>
      </c>
    </row>
    <row r="419" spans="1:4">
      <c r="A419" s="8" t="s">
        <v>48</v>
      </c>
      <c r="B419" s="8" t="s">
        <v>27</v>
      </c>
      <c r="C419" s="8" t="s">
        <v>30</v>
      </c>
      <c r="D419" s="8">
        <v>0.935563</v>
      </c>
    </row>
    <row r="420" spans="1:4">
      <c r="A420" s="8" t="s">
        <v>48</v>
      </c>
      <c r="B420" s="8" t="s">
        <v>28</v>
      </c>
      <c r="C420" s="8" t="s">
        <v>29</v>
      </c>
      <c r="D420" s="8">
        <v>0.908781</v>
      </c>
    </row>
    <row r="421" spans="1:4">
      <c r="A421" s="8" t="s">
        <v>48</v>
      </c>
      <c r="B421" s="8" t="s">
        <v>28</v>
      </c>
      <c r="C421" s="8" t="s">
        <v>30</v>
      </c>
      <c r="D421" s="8">
        <v>0.950022</v>
      </c>
    </row>
    <row r="422" spans="1:4">
      <c r="A422" s="8" t="s">
        <v>48</v>
      </c>
      <c r="B422" s="8" t="s">
        <v>29</v>
      </c>
      <c r="C422" s="8" t="s">
        <v>30</v>
      </c>
      <c r="D422" s="8">
        <v>0.91873</v>
      </c>
    </row>
    <row r="423" spans="1:4">
      <c r="A423" s="8" t="s">
        <v>49</v>
      </c>
      <c r="B423" s="8" t="s">
        <v>26</v>
      </c>
      <c r="C423" s="8" t="s">
        <v>24</v>
      </c>
      <c r="D423" s="8">
        <v>0.970979</v>
      </c>
    </row>
    <row r="424" spans="1:4">
      <c r="A424" s="8" t="s">
        <v>49</v>
      </c>
      <c r="B424" s="8" t="s">
        <v>26</v>
      </c>
      <c r="C424" s="8" t="s">
        <v>25</v>
      </c>
      <c r="D424" s="8">
        <v>0.965255</v>
      </c>
    </row>
    <row r="425" spans="1:4">
      <c r="A425" s="8" t="s">
        <v>49</v>
      </c>
      <c r="B425" s="8" t="s">
        <v>26</v>
      </c>
      <c r="C425" s="8" t="s">
        <v>34</v>
      </c>
      <c r="D425" s="8">
        <v>0.968267</v>
      </c>
    </row>
    <row r="426" spans="1:4">
      <c r="A426" s="8" t="s">
        <v>49</v>
      </c>
      <c r="B426" s="8" t="s">
        <v>26</v>
      </c>
      <c r="C426" s="8" t="s">
        <v>31</v>
      </c>
      <c r="D426" s="8">
        <v>0.961429</v>
      </c>
    </row>
    <row r="427" spans="1:4">
      <c r="A427" s="8" t="s">
        <v>49</v>
      </c>
      <c r="B427" s="8" t="s">
        <v>26</v>
      </c>
      <c r="C427" s="8" t="s">
        <v>32</v>
      </c>
      <c r="D427" s="8">
        <v>0.976439</v>
      </c>
    </row>
    <row r="428" spans="1:4">
      <c r="A428" s="8" t="s">
        <v>49</v>
      </c>
      <c r="B428" s="8" t="s">
        <v>26</v>
      </c>
      <c r="C428" s="8" t="s">
        <v>33</v>
      </c>
      <c r="D428" s="8">
        <v>0.976047</v>
      </c>
    </row>
    <row r="429" spans="1:4">
      <c r="A429" s="8" t="s">
        <v>49</v>
      </c>
      <c r="B429" s="8" t="s">
        <v>26</v>
      </c>
      <c r="C429" s="8" t="s">
        <v>27</v>
      </c>
      <c r="D429" s="8">
        <v>0.958169</v>
      </c>
    </row>
    <row r="430" spans="1:4">
      <c r="A430" s="8" t="s">
        <v>49</v>
      </c>
      <c r="B430" s="8" t="s">
        <v>26</v>
      </c>
      <c r="C430" s="8" t="s">
        <v>28</v>
      </c>
      <c r="D430" s="8">
        <v>0.95833</v>
      </c>
    </row>
    <row r="431" spans="1:4">
      <c r="A431" s="8" t="s">
        <v>49</v>
      </c>
      <c r="B431" s="8" t="s">
        <v>26</v>
      </c>
      <c r="C431" s="8" t="s">
        <v>29</v>
      </c>
      <c r="D431" s="8">
        <v>0.950356</v>
      </c>
    </row>
    <row r="432" spans="1:4">
      <c r="A432" s="8" t="s">
        <v>49</v>
      </c>
      <c r="B432" s="8" t="s">
        <v>26</v>
      </c>
      <c r="C432" s="8" t="s">
        <v>30</v>
      </c>
      <c r="D432" s="8">
        <v>0.94096</v>
      </c>
    </row>
    <row r="433" spans="1:4">
      <c r="A433" s="8" t="s">
        <v>49</v>
      </c>
      <c r="B433" s="8" t="s">
        <v>24</v>
      </c>
      <c r="C433" s="8" t="s">
        <v>25</v>
      </c>
      <c r="D433" s="8">
        <v>0.948884</v>
      </c>
    </row>
    <row r="434" spans="1:4">
      <c r="A434" s="8" t="s">
        <v>49</v>
      </c>
      <c r="B434" s="8" t="s">
        <v>24</v>
      </c>
      <c r="C434" s="8" t="s">
        <v>34</v>
      </c>
      <c r="D434" s="8">
        <v>0.95052</v>
      </c>
    </row>
    <row r="435" spans="1:4">
      <c r="A435" s="8" t="s">
        <v>49</v>
      </c>
      <c r="B435" s="8" t="s">
        <v>24</v>
      </c>
      <c r="C435" s="8" t="s">
        <v>31</v>
      </c>
      <c r="D435" s="8">
        <v>0.957031</v>
      </c>
    </row>
    <row r="436" spans="1:4">
      <c r="A436" s="8" t="s">
        <v>49</v>
      </c>
      <c r="B436" s="8" t="s">
        <v>24</v>
      </c>
      <c r="C436" s="8" t="s">
        <v>32</v>
      </c>
      <c r="D436" s="8">
        <v>0.961413</v>
      </c>
    </row>
    <row r="437" spans="1:4">
      <c r="A437" s="8" t="s">
        <v>49</v>
      </c>
      <c r="B437" s="8" t="s">
        <v>24</v>
      </c>
      <c r="C437" s="8" t="s">
        <v>33</v>
      </c>
      <c r="D437" s="8">
        <v>0.971331</v>
      </c>
    </row>
    <row r="438" spans="1:4">
      <c r="A438" s="8" t="s">
        <v>49</v>
      </c>
      <c r="B438" s="8" t="s">
        <v>24</v>
      </c>
      <c r="C438" s="8" t="s">
        <v>27</v>
      </c>
      <c r="D438" s="8">
        <v>0.950754</v>
      </c>
    </row>
    <row r="439" spans="1:4">
      <c r="A439" s="8" t="s">
        <v>49</v>
      </c>
      <c r="B439" s="8" t="s">
        <v>24</v>
      </c>
      <c r="C439" s="8" t="s">
        <v>28</v>
      </c>
      <c r="D439" s="8">
        <v>0.960439</v>
      </c>
    </row>
    <row r="440" spans="1:4">
      <c r="A440" s="8" t="s">
        <v>49</v>
      </c>
      <c r="B440" s="8" t="s">
        <v>24</v>
      </c>
      <c r="C440" s="8" t="s">
        <v>29</v>
      </c>
      <c r="D440" s="8">
        <v>0.933667</v>
      </c>
    </row>
    <row r="441" spans="1:4">
      <c r="A441" s="8" t="s">
        <v>49</v>
      </c>
      <c r="B441" s="8" t="s">
        <v>24</v>
      </c>
      <c r="C441" s="8" t="s">
        <v>30</v>
      </c>
      <c r="D441" s="8">
        <v>0.931967</v>
      </c>
    </row>
    <row r="442" spans="1:4">
      <c r="A442" s="8" t="s">
        <v>49</v>
      </c>
      <c r="B442" s="8" t="s">
        <v>25</v>
      </c>
      <c r="C442" s="8" t="s">
        <v>34</v>
      </c>
      <c r="D442" s="8">
        <v>0.958307</v>
      </c>
    </row>
    <row r="443" spans="1:4">
      <c r="A443" s="8" t="s">
        <v>49</v>
      </c>
      <c r="B443" s="8" t="s">
        <v>25</v>
      </c>
      <c r="C443" s="8" t="s">
        <v>31</v>
      </c>
      <c r="D443" s="8">
        <v>0.939195</v>
      </c>
    </row>
    <row r="444" spans="1:4">
      <c r="A444" s="8" t="s">
        <v>49</v>
      </c>
      <c r="B444" s="8" t="s">
        <v>25</v>
      </c>
      <c r="C444" s="8" t="s">
        <v>32</v>
      </c>
      <c r="D444" s="8">
        <v>0.973214</v>
      </c>
    </row>
    <row r="445" spans="1:4">
      <c r="A445" s="8" t="s">
        <v>49</v>
      </c>
      <c r="B445" s="8" t="s">
        <v>25</v>
      </c>
      <c r="C445" s="8" t="s">
        <v>33</v>
      </c>
      <c r="D445" s="8">
        <v>0.968297</v>
      </c>
    </row>
    <row r="446" spans="1:4">
      <c r="A446" s="8" t="s">
        <v>49</v>
      </c>
      <c r="B446" s="8" t="s">
        <v>25</v>
      </c>
      <c r="C446" s="8" t="s">
        <v>27</v>
      </c>
      <c r="D446" s="8">
        <v>0.959503</v>
      </c>
    </row>
    <row r="447" spans="1:4">
      <c r="A447" s="8" t="s">
        <v>49</v>
      </c>
      <c r="B447" s="8" t="s">
        <v>25</v>
      </c>
      <c r="C447" s="8" t="s">
        <v>28</v>
      </c>
      <c r="D447" s="8">
        <v>0.970405</v>
      </c>
    </row>
    <row r="448" spans="1:4">
      <c r="A448" s="8" t="s">
        <v>49</v>
      </c>
      <c r="B448" s="8" t="s">
        <v>25</v>
      </c>
      <c r="C448" s="8" t="s">
        <v>29</v>
      </c>
      <c r="D448" s="8">
        <v>0.911981</v>
      </c>
    </row>
    <row r="449" spans="1:4">
      <c r="A449" s="8" t="s">
        <v>49</v>
      </c>
      <c r="B449" s="8" t="s">
        <v>25</v>
      </c>
      <c r="C449" s="8" t="s">
        <v>30</v>
      </c>
      <c r="D449" s="8">
        <v>0.957749</v>
      </c>
    </row>
    <row r="450" spans="1:4">
      <c r="A450" s="8" t="s">
        <v>49</v>
      </c>
      <c r="B450" s="8" t="s">
        <v>34</v>
      </c>
      <c r="C450" s="8" t="s">
        <v>31</v>
      </c>
      <c r="D450" s="8">
        <v>0.94468</v>
      </c>
    </row>
    <row r="451" spans="1:4">
      <c r="A451" s="8" t="s">
        <v>49</v>
      </c>
      <c r="B451" s="8" t="s">
        <v>34</v>
      </c>
      <c r="C451" s="8" t="s">
        <v>32</v>
      </c>
      <c r="D451" s="8">
        <v>0.964194</v>
      </c>
    </row>
    <row r="452" spans="1:4">
      <c r="A452" s="8" t="s">
        <v>49</v>
      </c>
      <c r="B452" s="8" t="s">
        <v>34</v>
      </c>
      <c r="C452" s="8" t="s">
        <v>33</v>
      </c>
      <c r="D452" s="8">
        <v>0.96013</v>
      </c>
    </row>
    <row r="453" spans="1:4">
      <c r="A453" s="8" t="s">
        <v>49</v>
      </c>
      <c r="B453" s="8" t="s">
        <v>34</v>
      </c>
      <c r="C453" s="8" t="s">
        <v>27</v>
      </c>
      <c r="D453" s="8">
        <v>0.946056</v>
      </c>
    </row>
    <row r="454" spans="1:4">
      <c r="A454" s="8" t="s">
        <v>49</v>
      </c>
      <c r="B454" s="8" t="s">
        <v>34</v>
      </c>
      <c r="C454" s="8" t="s">
        <v>28</v>
      </c>
      <c r="D454" s="8">
        <v>0.938946</v>
      </c>
    </row>
    <row r="455" spans="1:4">
      <c r="A455" s="8" t="s">
        <v>49</v>
      </c>
      <c r="B455" s="8" t="s">
        <v>34</v>
      </c>
      <c r="C455" s="8" t="s">
        <v>29</v>
      </c>
      <c r="D455" s="8">
        <v>0.923813</v>
      </c>
    </row>
    <row r="456" spans="1:4">
      <c r="A456" s="8" t="s">
        <v>49</v>
      </c>
      <c r="B456" s="8" t="s">
        <v>34</v>
      </c>
      <c r="C456" s="8" t="s">
        <v>30</v>
      </c>
      <c r="D456" s="8">
        <v>0.92854</v>
      </c>
    </row>
    <row r="457" spans="1:4">
      <c r="A457" s="8" t="s">
        <v>49</v>
      </c>
      <c r="B457" s="8" t="s">
        <v>31</v>
      </c>
      <c r="C457" s="8" t="s">
        <v>32</v>
      </c>
      <c r="D457" s="8">
        <v>0.960212</v>
      </c>
    </row>
    <row r="458" spans="1:4">
      <c r="A458" s="8" t="s">
        <v>49</v>
      </c>
      <c r="B458" s="8" t="s">
        <v>31</v>
      </c>
      <c r="C458" s="8" t="s">
        <v>33</v>
      </c>
      <c r="D458" s="8">
        <v>0.970517</v>
      </c>
    </row>
    <row r="459" spans="1:4">
      <c r="A459" s="8" t="s">
        <v>49</v>
      </c>
      <c r="B459" s="8" t="s">
        <v>31</v>
      </c>
      <c r="C459" s="8" t="s">
        <v>27</v>
      </c>
      <c r="D459" s="8">
        <v>0.970478</v>
      </c>
    </row>
    <row r="460" spans="1:4">
      <c r="A460" s="8" t="s">
        <v>49</v>
      </c>
      <c r="B460" s="8" t="s">
        <v>31</v>
      </c>
      <c r="C460" s="8" t="s">
        <v>28</v>
      </c>
      <c r="D460" s="8">
        <v>0.94448</v>
      </c>
    </row>
    <row r="461" spans="1:4">
      <c r="A461" s="8" t="s">
        <v>49</v>
      </c>
      <c r="B461" s="8" t="s">
        <v>31</v>
      </c>
      <c r="C461" s="8" t="s">
        <v>29</v>
      </c>
      <c r="D461" s="8">
        <v>0.908289</v>
      </c>
    </row>
    <row r="462" spans="1:4">
      <c r="A462" s="8" t="s">
        <v>49</v>
      </c>
      <c r="B462" s="8" t="s">
        <v>31</v>
      </c>
      <c r="C462" s="8" t="s">
        <v>30</v>
      </c>
      <c r="D462" s="8">
        <v>0.940326</v>
      </c>
    </row>
    <row r="463" spans="1:4">
      <c r="A463" s="8" t="s">
        <v>49</v>
      </c>
      <c r="B463" s="8" t="s">
        <v>32</v>
      </c>
      <c r="C463" s="8" t="s">
        <v>33</v>
      </c>
      <c r="D463" s="8">
        <v>0.981334</v>
      </c>
    </row>
    <row r="464" spans="1:4">
      <c r="A464" s="8" t="s">
        <v>49</v>
      </c>
      <c r="B464" s="8" t="s">
        <v>32</v>
      </c>
      <c r="C464" s="8" t="s">
        <v>27</v>
      </c>
      <c r="D464" s="8">
        <v>0.969875</v>
      </c>
    </row>
    <row r="465" spans="1:4">
      <c r="A465" s="8" t="s">
        <v>49</v>
      </c>
      <c r="B465" s="8" t="s">
        <v>32</v>
      </c>
      <c r="C465" s="8" t="s">
        <v>28</v>
      </c>
      <c r="D465" s="8">
        <v>0.97436</v>
      </c>
    </row>
    <row r="466" spans="1:4">
      <c r="A466" s="8" t="s">
        <v>49</v>
      </c>
      <c r="B466" s="8" t="s">
        <v>32</v>
      </c>
      <c r="C466" s="8" t="s">
        <v>29</v>
      </c>
      <c r="D466" s="8">
        <v>0.922497</v>
      </c>
    </row>
    <row r="467" spans="1:4">
      <c r="A467" s="8" t="s">
        <v>49</v>
      </c>
      <c r="B467" s="8" t="s">
        <v>32</v>
      </c>
      <c r="C467" s="8" t="s">
        <v>30</v>
      </c>
      <c r="D467" s="8">
        <v>0.95543</v>
      </c>
    </row>
    <row r="468" spans="1:4">
      <c r="A468" s="8" t="s">
        <v>49</v>
      </c>
      <c r="B468" s="8" t="s">
        <v>33</v>
      </c>
      <c r="C468" s="8" t="s">
        <v>27</v>
      </c>
      <c r="D468" s="8">
        <v>0.969649</v>
      </c>
    </row>
    <row r="469" spans="1:4">
      <c r="A469" s="8" t="s">
        <v>49</v>
      </c>
      <c r="B469" s="8" t="s">
        <v>33</v>
      </c>
      <c r="C469" s="8" t="s">
        <v>28</v>
      </c>
      <c r="D469" s="8">
        <v>0.974478</v>
      </c>
    </row>
    <row r="470" spans="1:4">
      <c r="A470" s="8" t="s">
        <v>49</v>
      </c>
      <c r="B470" s="8" t="s">
        <v>33</v>
      </c>
      <c r="C470" s="8" t="s">
        <v>29</v>
      </c>
      <c r="D470" s="8">
        <v>0.915971</v>
      </c>
    </row>
    <row r="471" spans="1:4">
      <c r="A471" s="8" t="s">
        <v>49</v>
      </c>
      <c r="B471" s="8" t="s">
        <v>33</v>
      </c>
      <c r="C471" s="8" t="s">
        <v>30</v>
      </c>
      <c r="D471" s="8">
        <v>0.958888</v>
      </c>
    </row>
    <row r="472" spans="1:4">
      <c r="A472" s="8" t="s">
        <v>49</v>
      </c>
      <c r="B472" s="8" t="s">
        <v>27</v>
      </c>
      <c r="C472" s="8" t="s">
        <v>28</v>
      </c>
      <c r="D472" s="8">
        <v>0.967024</v>
      </c>
    </row>
    <row r="473" spans="1:4">
      <c r="A473" s="8" t="s">
        <v>49</v>
      </c>
      <c r="B473" s="8" t="s">
        <v>27</v>
      </c>
      <c r="C473" s="8" t="s">
        <v>29</v>
      </c>
      <c r="D473" s="8">
        <v>0.905626</v>
      </c>
    </row>
    <row r="474" spans="1:4">
      <c r="A474" s="8" t="s">
        <v>49</v>
      </c>
      <c r="B474" s="8" t="s">
        <v>27</v>
      </c>
      <c r="C474" s="8" t="s">
        <v>30</v>
      </c>
      <c r="D474" s="8">
        <v>0.964479</v>
      </c>
    </row>
    <row r="475" spans="1:4">
      <c r="A475" s="8" t="s">
        <v>49</v>
      </c>
      <c r="B475" s="8" t="s">
        <v>28</v>
      </c>
      <c r="C475" s="8" t="s">
        <v>29</v>
      </c>
      <c r="D475" s="8">
        <v>0.909948</v>
      </c>
    </row>
    <row r="476" spans="1:4">
      <c r="A476" s="8" t="s">
        <v>49</v>
      </c>
      <c r="B476" s="8" t="s">
        <v>28</v>
      </c>
      <c r="C476" s="8" t="s">
        <v>30</v>
      </c>
      <c r="D476" s="8">
        <v>0.968932</v>
      </c>
    </row>
    <row r="477" spans="1:4">
      <c r="A477" s="8" t="s">
        <v>49</v>
      </c>
      <c r="B477" s="8" t="s">
        <v>29</v>
      </c>
      <c r="C477" s="8" t="s">
        <v>30</v>
      </c>
      <c r="D477" s="8">
        <v>0.890614</v>
      </c>
    </row>
    <row r="478" spans="1:4">
      <c r="A478" s="8" t="s">
        <v>50</v>
      </c>
      <c r="B478" s="8" t="s">
        <v>26</v>
      </c>
      <c r="C478" s="8" t="s">
        <v>24</v>
      </c>
      <c r="D478" s="8">
        <v>0.935851</v>
      </c>
    </row>
    <row r="479" spans="1:4">
      <c r="A479" s="8" t="s">
        <v>50</v>
      </c>
      <c r="B479" s="8" t="s">
        <v>26</v>
      </c>
      <c r="C479" s="8" t="s">
        <v>25</v>
      </c>
      <c r="D479" s="8">
        <v>0.978657</v>
      </c>
    </row>
    <row r="480" spans="1:4">
      <c r="A480" s="8" t="s">
        <v>50</v>
      </c>
      <c r="B480" s="8" t="s">
        <v>26</v>
      </c>
      <c r="C480" s="8" t="s">
        <v>34</v>
      </c>
      <c r="D480" s="8">
        <v>0.939826</v>
      </c>
    </row>
    <row r="481" spans="1:4">
      <c r="A481" s="8" t="s">
        <v>50</v>
      </c>
      <c r="B481" s="8" t="s">
        <v>26</v>
      </c>
      <c r="C481" s="8" t="s">
        <v>31</v>
      </c>
      <c r="D481" s="8">
        <v>0.89496</v>
      </c>
    </row>
    <row r="482" spans="1:4">
      <c r="A482" s="8" t="s">
        <v>50</v>
      </c>
      <c r="B482" s="8" t="s">
        <v>26</v>
      </c>
      <c r="C482" s="8" t="s">
        <v>32</v>
      </c>
      <c r="D482" s="8">
        <v>0.901837</v>
      </c>
    </row>
    <row r="483" spans="1:4">
      <c r="A483" s="8" t="s">
        <v>50</v>
      </c>
      <c r="B483" s="8" t="s">
        <v>26</v>
      </c>
      <c r="C483" s="8" t="s">
        <v>33</v>
      </c>
      <c r="D483" s="8">
        <v>0.951455</v>
      </c>
    </row>
    <row r="484" spans="1:4">
      <c r="A484" s="8" t="s">
        <v>50</v>
      </c>
      <c r="B484" s="8" t="s">
        <v>26</v>
      </c>
      <c r="C484" s="8" t="s">
        <v>27</v>
      </c>
      <c r="D484" s="8">
        <v>0.953677</v>
      </c>
    </row>
    <row r="485" spans="1:4">
      <c r="A485" s="8" t="s">
        <v>50</v>
      </c>
      <c r="B485" s="8" t="s">
        <v>26</v>
      </c>
      <c r="C485" s="8" t="s">
        <v>28</v>
      </c>
      <c r="D485" s="8">
        <v>0.967805</v>
      </c>
    </row>
    <row r="486" spans="1:4">
      <c r="A486" s="8" t="s">
        <v>50</v>
      </c>
      <c r="B486" s="8" t="s">
        <v>26</v>
      </c>
      <c r="C486" s="8" t="s">
        <v>29</v>
      </c>
      <c r="D486" s="8">
        <v>0.918069</v>
      </c>
    </row>
    <row r="487" spans="1:4">
      <c r="A487" s="8" t="s">
        <v>50</v>
      </c>
      <c r="B487" s="8" t="s">
        <v>26</v>
      </c>
      <c r="C487" s="8" t="s">
        <v>30</v>
      </c>
      <c r="D487" s="8">
        <v>0.907028</v>
      </c>
    </row>
    <row r="488" spans="1:4">
      <c r="A488" s="8" t="s">
        <v>50</v>
      </c>
      <c r="B488" s="8" t="s">
        <v>24</v>
      </c>
      <c r="C488" s="8" t="s">
        <v>25</v>
      </c>
      <c r="D488" s="8">
        <v>0.926602</v>
      </c>
    </row>
    <row r="489" spans="1:4">
      <c r="A489" s="8" t="s">
        <v>50</v>
      </c>
      <c r="B489" s="8" t="s">
        <v>24</v>
      </c>
      <c r="C489" s="8" t="s">
        <v>34</v>
      </c>
      <c r="D489" s="8">
        <v>0.909534</v>
      </c>
    </row>
    <row r="490" spans="1:4">
      <c r="A490" s="8" t="s">
        <v>50</v>
      </c>
      <c r="B490" s="8" t="s">
        <v>24</v>
      </c>
      <c r="C490" s="8" t="s">
        <v>31</v>
      </c>
      <c r="D490" s="8">
        <v>0.921856</v>
      </c>
    </row>
    <row r="491" spans="1:4">
      <c r="A491" s="8" t="s">
        <v>50</v>
      </c>
      <c r="B491" s="8" t="s">
        <v>24</v>
      </c>
      <c r="C491" s="8" t="s">
        <v>32</v>
      </c>
      <c r="D491" s="8">
        <v>0.926658</v>
      </c>
    </row>
    <row r="492" spans="1:4">
      <c r="A492" s="8" t="s">
        <v>50</v>
      </c>
      <c r="B492" s="8" t="s">
        <v>24</v>
      </c>
      <c r="C492" s="8" t="s">
        <v>33</v>
      </c>
      <c r="D492" s="8">
        <v>0.94952</v>
      </c>
    </row>
    <row r="493" spans="1:4">
      <c r="A493" s="8" t="s">
        <v>50</v>
      </c>
      <c r="B493" s="8" t="s">
        <v>24</v>
      </c>
      <c r="C493" s="8" t="s">
        <v>27</v>
      </c>
      <c r="D493" s="8">
        <v>0.922755</v>
      </c>
    </row>
    <row r="494" spans="1:4">
      <c r="A494" s="8" t="s">
        <v>50</v>
      </c>
      <c r="B494" s="8" t="s">
        <v>24</v>
      </c>
      <c r="C494" s="8" t="s">
        <v>28</v>
      </c>
      <c r="D494" s="8">
        <v>0.933649</v>
      </c>
    </row>
    <row r="495" spans="1:4">
      <c r="A495" s="8" t="s">
        <v>50</v>
      </c>
      <c r="B495" s="8" t="s">
        <v>24</v>
      </c>
      <c r="C495" s="8" t="s">
        <v>29</v>
      </c>
      <c r="D495" s="8">
        <v>0.893011</v>
      </c>
    </row>
    <row r="496" spans="1:4">
      <c r="A496" s="8" t="s">
        <v>50</v>
      </c>
      <c r="B496" s="8" t="s">
        <v>24</v>
      </c>
      <c r="C496" s="8" t="s">
        <v>30</v>
      </c>
      <c r="D496" s="8">
        <v>0.900135</v>
      </c>
    </row>
    <row r="497" spans="1:4">
      <c r="A497" s="8" t="s">
        <v>50</v>
      </c>
      <c r="B497" s="8" t="s">
        <v>25</v>
      </c>
      <c r="C497" s="8" t="s">
        <v>34</v>
      </c>
      <c r="D497" s="8">
        <v>0.954304</v>
      </c>
    </row>
    <row r="498" spans="1:4">
      <c r="A498" s="8" t="s">
        <v>50</v>
      </c>
      <c r="B498" s="8" t="s">
        <v>25</v>
      </c>
      <c r="C498" s="8" t="s">
        <v>31</v>
      </c>
      <c r="D498" s="8">
        <v>0.906886</v>
      </c>
    </row>
    <row r="499" spans="1:4">
      <c r="A499" s="8" t="s">
        <v>50</v>
      </c>
      <c r="B499" s="8" t="s">
        <v>25</v>
      </c>
      <c r="C499" s="8" t="s">
        <v>32</v>
      </c>
      <c r="D499" s="8">
        <v>0.913301</v>
      </c>
    </row>
    <row r="500" spans="1:4">
      <c r="A500" s="8" t="s">
        <v>50</v>
      </c>
      <c r="B500" s="8" t="s">
        <v>25</v>
      </c>
      <c r="C500" s="8" t="s">
        <v>33</v>
      </c>
      <c r="D500" s="8">
        <v>0.955362</v>
      </c>
    </row>
    <row r="501" spans="1:4">
      <c r="A501" s="8" t="s">
        <v>50</v>
      </c>
      <c r="B501" s="8" t="s">
        <v>25</v>
      </c>
      <c r="C501" s="8" t="s">
        <v>27</v>
      </c>
      <c r="D501" s="8">
        <v>0.948477</v>
      </c>
    </row>
    <row r="502" spans="1:4">
      <c r="A502" s="8" t="s">
        <v>50</v>
      </c>
      <c r="B502" s="8" t="s">
        <v>25</v>
      </c>
      <c r="C502" s="8" t="s">
        <v>28</v>
      </c>
      <c r="D502" s="8">
        <v>0.950172</v>
      </c>
    </row>
    <row r="503" spans="1:4">
      <c r="A503" s="8" t="s">
        <v>50</v>
      </c>
      <c r="B503" s="8" t="s">
        <v>25</v>
      </c>
      <c r="C503" s="8" t="s">
        <v>29</v>
      </c>
      <c r="D503" s="8">
        <v>0.911517</v>
      </c>
    </row>
    <row r="504" spans="1:4">
      <c r="A504" s="8" t="s">
        <v>50</v>
      </c>
      <c r="B504" s="8" t="s">
        <v>25</v>
      </c>
      <c r="C504" s="8" t="s">
        <v>30</v>
      </c>
      <c r="D504" s="8">
        <v>0.893631</v>
      </c>
    </row>
    <row r="505" spans="1:4">
      <c r="A505" s="8" t="s">
        <v>50</v>
      </c>
      <c r="B505" s="8" t="s">
        <v>34</v>
      </c>
      <c r="C505" s="8" t="s">
        <v>31</v>
      </c>
      <c r="D505" s="8">
        <v>0.889353</v>
      </c>
    </row>
    <row r="506" spans="1:4">
      <c r="A506" s="8" t="s">
        <v>50</v>
      </c>
      <c r="B506" s="8" t="s">
        <v>34</v>
      </c>
      <c r="C506" s="8" t="s">
        <v>32</v>
      </c>
      <c r="D506" s="8">
        <v>0.892222</v>
      </c>
    </row>
    <row r="507" spans="1:4">
      <c r="A507" s="8" t="s">
        <v>50</v>
      </c>
      <c r="B507" s="8" t="s">
        <v>34</v>
      </c>
      <c r="C507" s="8" t="s">
        <v>33</v>
      </c>
      <c r="D507" s="8">
        <v>0.929692</v>
      </c>
    </row>
    <row r="508" spans="1:4">
      <c r="A508" s="8" t="s">
        <v>50</v>
      </c>
      <c r="B508" s="8" t="s">
        <v>34</v>
      </c>
      <c r="C508" s="8" t="s">
        <v>27</v>
      </c>
      <c r="D508" s="8">
        <v>0.915317</v>
      </c>
    </row>
    <row r="509" spans="1:4">
      <c r="A509" s="8" t="s">
        <v>50</v>
      </c>
      <c r="B509" s="8" t="s">
        <v>34</v>
      </c>
      <c r="C509" s="8" t="s">
        <v>28</v>
      </c>
      <c r="D509" s="8">
        <v>0.941825</v>
      </c>
    </row>
    <row r="510" spans="1:4">
      <c r="A510" s="8" t="s">
        <v>50</v>
      </c>
      <c r="B510" s="8" t="s">
        <v>34</v>
      </c>
      <c r="C510" s="8" t="s">
        <v>29</v>
      </c>
      <c r="D510" s="8">
        <v>0.901045</v>
      </c>
    </row>
    <row r="511" spans="1:4">
      <c r="A511" s="8" t="s">
        <v>50</v>
      </c>
      <c r="B511" s="8" t="s">
        <v>34</v>
      </c>
      <c r="C511" s="8" t="s">
        <v>30</v>
      </c>
      <c r="D511" s="8">
        <v>0.895928</v>
      </c>
    </row>
    <row r="512" spans="1:4">
      <c r="A512" s="8" t="s">
        <v>50</v>
      </c>
      <c r="B512" s="8" t="s">
        <v>31</v>
      </c>
      <c r="C512" s="8" t="s">
        <v>32</v>
      </c>
      <c r="D512" s="8">
        <v>0.941051</v>
      </c>
    </row>
    <row r="513" spans="1:4">
      <c r="A513" s="8" t="s">
        <v>50</v>
      </c>
      <c r="B513" s="8" t="s">
        <v>31</v>
      </c>
      <c r="C513" s="8" t="s">
        <v>33</v>
      </c>
      <c r="D513" s="8">
        <v>0.939562</v>
      </c>
    </row>
    <row r="514" spans="1:4">
      <c r="A514" s="8" t="s">
        <v>50</v>
      </c>
      <c r="B514" s="8" t="s">
        <v>31</v>
      </c>
      <c r="C514" s="8" t="s">
        <v>27</v>
      </c>
      <c r="D514" s="8">
        <v>0.913967</v>
      </c>
    </row>
    <row r="515" spans="1:4">
      <c r="A515" s="8" t="s">
        <v>50</v>
      </c>
      <c r="B515" s="8" t="s">
        <v>31</v>
      </c>
      <c r="C515" s="8" t="s">
        <v>28</v>
      </c>
      <c r="D515" s="8">
        <v>0.883632</v>
      </c>
    </row>
    <row r="516" spans="1:4">
      <c r="A516" s="8" t="s">
        <v>50</v>
      </c>
      <c r="B516" s="8" t="s">
        <v>31</v>
      </c>
      <c r="C516" s="8" t="s">
        <v>29</v>
      </c>
      <c r="D516" s="8">
        <v>0.906034</v>
      </c>
    </row>
    <row r="517" spans="1:4">
      <c r="A517" s="8" t="s">
        <v>50</v>
      </c>
      <c r="B517" s="8" t="s">
        <v>31</v>
      </c>
      <c r="C517" s="8" t="s">
        <v>30</v>
      </c>
      <c r="D517" s="8">
        <v>0.887463</v>
      </c>
    </row>
    <row r="518" spans="1:4">
      <c r="A518" s="8" t="s">
        <v>50</v>
      </c>
      <c r="B518" s="8" t="s">
        <v>32</v>
      </c>
      <c r="C518" s="8" t="s">
        <v>33</v>
      </c>
      <c r="D518" s="8">
        <v>0.920493</v>
      </c>
    </row>
    <row r="519" spans="1:4">
      <c r="A519" s="8" t="s">
        <v>50</v>
      </c>
      <c r="B519" s="8" t="s">
        <v>32</v>
      </c>
      <c r="C519" s="8" t="s">
        <v>27</v>
      </c>
      <c r="D519" s="8">
        <v>0.883962</v>
      </c>
    </row>
    <row r="520" spans="1:4">
      <c r="A520" s="8" t="s">
        <v>50</v>
      </c>
      <c r="B520" s="8" t="s">
        <v>32</v>
      </c>
      <c r="C520" s="8" t="s">
        <v>28</v>
      </c>
      <c r="D520" s="8">
        <v>0.906687</v>
      </c>
    </row>
    <row r="521" spans="1:4">
      <c r="A521" s="8" t="s">
        <v>50</v>
      </c>
      <c r="B521" s="8" t="s">
        <v>32</v>
      </c>
      <c r="C521" s="8" t="s">
        <v>29</v>
      </c>
      <c r="D521" s="8">
        <v>0.908759</v>
      </c>
    </row>
    <row r="522" spans="1:4">
      <c r="A522" s="8" t="s">
        <v>50</v>
      </c>
      <c r="B522" s="8" t="s">
        <v>32</v>
      </c>
      <c r="C522" s="8" t="s">
        <v>30</v>
      </c>
      <c r="D522" s="8">
        <v>0.912349</v>
      </c>
    </row>
    <row r="523" spans="1:4">
      <c r="A523" s="8" t="s">
        <v>50</v>
      </c>
      <c r="B523" s="8" t="s">
        <v>33</v>
      </c>
      <c r="C523" s="8" t="s">
        <v>27</v>
      </c>
      <c r="D523" s="8">
        <v>0.945499</v>
      </c>
    </row>
    <row r="524" spans="1:4">
      <c r="A524" s="8" t="s">
        <v>50</v>
      </c>
      <c r="B524" s="8" t="s">
        <v>33</v>
      </c>
      <c r="C524" s="8" t="s">
        <v>28</v>
      </c>
      <c r="D524" s="8">
        <v>0.929964</v>
      </c>
    </row>
    <row r="525" spans="1:4">
      <c r="A525" s="8" t="s">
        <v>50</v>
      </c>
      <c r="B525" s="8" t="s">
        <v>33</v>
      </c>
      <c r="C525" s="8" t="s">
        <v>29</v>
      </c>
      <c r="D525" s="8">
        <v>0.91018</v>
      </c>
    </row>
    <row r="526" spans="1:4">
      <c r="A526" s="8" t="s">
        <v>50</v>
      </c>
      <c r="B526" s="8" t="s">
        <v>33</v>
      </c>
      <c r="C526" s="8" t="s">
        <v>30</v>
      </c>
      <c r="D526" s="8">
        <v>0.894323</v>
      </c>
    </row>
    <row r="527" spans="1:4">
      <c r="A527" s="8" t="s">
        <v>50</v>
      </c>
      <c r="B527" s="8" t="s">
        <v>27</v>
      </c>
      <c r="C527" s="8" t="s">
        <v>28</v>
      </c>
      <c r="D527" s="8">
        <v>0.91729</v>
      </c>
    </row>
    <row r="528" spans="1:4">
      <c r="A528" s="8" t="s">
        <v>50</v>
      </c>
      <c r="B528" s="8" t="s">
        <v>27</v>
      </c>
      <c r="C528" s="8" t="s">
        <v>29</v>
      </c>
      <c r="D528" s="8">
        <v>0.887451</v>
      </c>
    </row>
    <row r="529" spans="1:4">
      <c r="A529" s="8" t="s">
        <v>50</v>
      </c>
      <c r="B529" s="8" t="s">
        <v>27</v>
      </c>
      <c r="C529" s="8" t="s">
        <v>30</v>
      </c>
      <c r="D529" s="8">
        <v>0.878733</v>
      </c>
    </row>
    <row r="530" spans="1:4">
      <c r="A530" s="8" t="s">
        <v>50</v>
      </c>
      <c r="B530" s="8" t="s">
        <v>28</v>
      </c>
      <c r="C530" s="8" t="s">
        <v>29</v>
      </c>
      <c r="D530" s="8">
        <v>0.926716</v>
      </c>
    </row>
    <row r="531" spans="1:4">
      <c r="A531" s="8" t="s">
        <v>50</v>
      </c>
      <c r="B531" s="8" t="s">
        <v>28</v>
      </c>
      <c r="C531" s="8" t="s">
        <v>30</v>
      </c>
      <c r="D531" s="8">
        <v>0.92433</v>
      </c>
    </row>
    <row r="532" spans="1:4">
      <c r="A532" s="8" t="s">
        <v>50</v>
      </c>
      <c r="B532" s="8" t="s">
        <v>29</v>
      </c>
      <c r="C532" s="8" t="s">
        <v>30</v>
      </c>
      <c r="D532" s="8">
        <v>0.946194</v>
      </c>
    </row>
    <row r="533" spans="1:4">
      <c r="A533" s="8" t="s">
        <v>51</v>
      </c>
      <c r="B533" s="8" t="s">
        <v>26</v>
      </c>
      <c r="C533" s="8" t="s">
        <v>24</v>
      </c>
      <c r="D533" s="8">
        <v>0.937734</v>
      </c>
    </row>
    <row r="534" spans="1:4">
      <c r="A534" s="8" t="s">
        <v>51</v>
      </c>
      <c r="B534" s="8" t="s">
        <v>26</v>
      </c>
      <c r="C534" s="8" t="s">
        <v>25</v>
      </c>
      <c r="D534" s="8">
        <v>0.948482</v>
      </c>
    </row>
    <row r="535" spans="1:4">
      <c r="A535" s="8" t="s">
        <v>51</v>
      </c>
      <c r="B535" s="8" t="s">
        <v>26</v>
      </c>
      <c r="C535" s="8" t="s">
        <v>34</v>
      </c>
      <c r="D535" s="8">
        <v>0.89625</v>
      </c>
    </row>
    <row r="536" spans="1:4">
      <c r="A536" s="8" t="s">
        <v>51</v>
      </c>
      <c r="B536" s="8" t="s">
        <v>26</v>
      </c>
      <c r="C536" s="8" t="s">
        <v>31</v>
      </c>
      <c r="D536" s="8">
        <v>0.982581</v>
      </c>
    </row>
    <row r="537" spans="1:4">
      <c r="A537" s="8" t="s">
        <v>51</v>
      </c>
      <c r="B537" s="8" t="s">
        <v>26</v>
      </c>
      <c r="C537" s="8" t="s">
        <v>32</v>
      </c>
      <c r="D537" s="8">
        <v>0.966616</v>
      </c>
    </row>
    <row r="538" spans="1:4">
      <c r="A538" s="8" t="s">
        <v>51</v>
      </c>
      <c r="B538" s="8" t="s">
        <v>26</v>
      </c>
      <c r="C538" s="8" t="s">
        <v>33</v>
      </c>
      <c r="D538" s="8">
        <v>0.969876</v>
      </c>
    </row>
    <row r="539" spans="1:4">
      <c r="A539" s="8" t="s">
        <v>51</v>
      </c>
      <c r="B539" s="8" t="s">
        <v>26</v>
      </c>
      <c r="C539" s="8" t="s">
        <v>27</v>
      </c>
      <c r="D539" s="8">
        <v>0.944517</v>
      </c>
    </row>
    <row r="540" spans="1:4">
      <c r="A540" s="8" t="s">
        <v>51</v>
      </c>
      <c r="B540" s="8" t="s">
        <v>26</v>
      </c>
      <c r="C540" s="8" t="s">
        <v>28</v>
      </c>
      <c r="D540" s="8">
        <v>0.977026</v>
      </c>
    </row>
    <row r="541" spans="1:4">
      <c r="A541" s="8" t="s">
        <v>51</v>
      </c>
      <c r="B541" s="8" t="s">
        <v>26</v>
      </c>
      <c r="C541" s="8" t="s">
        <v>29</v>
      </c>
      <c r="D541" s="8">
        <v>0.945411</v>
      </c>
    </row>
    <row r="542" spans="1:4">
      <c r="A542" s="8" t="s">
        <v>51</v>
      </c>
      <c r="B542" s="8" t="s">
        <v>26</v>
      </c>
      <c r="C542" s="8" t="s">
        <v>30</v>
      </c>
      <c r="D542" s="8">
        <v>0.948429</v>
      </c>
    </row>
    <row r="543" spans="1:4">
      <c r="A543" s="8" t="s">
        <v>51</v>
      </c>
      <c r="B543" s="8" t="s">
        <v>24</v>
      </c>
      <c r="C543" s="8" t="s">
        <v>25</v>
      </c>
      <c r="D543" s="8">
        <v>0.938778</v>
      </c>
    </row>
    <row r="544" spans="1:4">
      <c r="A544" s="8" t="s">
        <v>51</v>
      </c>
      <c r="B544" s="8" t="s">
        <v>24</v>
      </c>
      <c r="C544" s="8" t="s">
        <v>34</v>
      </c>
      <c r="D544" s="8">
        <v>0.873439</v>
      </c>
    </row>
    <row r="545" spans="1:4">
      <c r="A545" s="8" t="s">
        <v>51</v>
      </c>
      <c r="B545" s="8" t="s">
        <v>24</v>
      </c>
      <c r="C545" s="8" t="s">
        <v>31</v>
      </c>
      <c r="D545" s="8">
        <v>0.928321</v>
      </c>
    </row>
    <row r="546" spans="1:4">
      <c r="A546" s="8" t="s">
        <v>51</v>
      </c>
      <c r="B546" s="8" t="s">
        <v>24</v>
      </c>
      <c r="C546" s="8" t="s">
        <v>32</v>
      </c>
      <c r="D546" s="8">
        <v>0.925161</v>
      </c>
    </row>
    <row r="547" spans="1:4">
      <c r="A547" s="8" t="s">
        <v>51</v>
      </c>
      <c r="B547" s="8" t="s">
        <v>24</v>
      </c>
      <c r="C547" s="8" t="s">
        <v>33</v>
      </c>
      <c r="D547" s="8">
        <v>0.964246</v>
      </c>
    </row>
    <row r="548" spans="1:4">
      <c r="A548" s="8" t="s">
        <v>51</v>
      </c>
      <c r="B548" s="8" t="s">
        <v>24</v>
      </c>
      <c r="C548" s="8" t="s">
        <v>27</v>
      </c>
      <c r="D548" s="8">
        <v>0.974242</v>
      </c>
    </row>
    <row r="549" spans="1:4">
      <c r="A549" s="8" t="s">
        <v>51</v>
      </c>
      <c r="B549" s="8" t="s">
        <v>24</v>
      </c>
      <c r="C549" s="8" t="s">
        <v>28</v>
      </c>
      <c r="D549" s="8">
        <v>0.962736</v>
      </c>
    </row>
    <row r="550" spans="1:4">
      <c r="A550" s="8" t="s">
        <v>51</v>
      </c>
      <c r="B550" s="8" t="s">
        <v>24</v>
      </c>
      <c r="C550" s="8" t="s">
        <v>29</v>
      </c>
      <c r="D550" s="8">
        <v>0.941181</v>
      </c>
    </row>
    <row r="551" spans="1:4">
      <c r="A551" s="8" t="s">
        <v>51</v>
      </c>
      <c r="B551" s="8" t="s">
        <v>24</v>
      </c>
      <c r="C551" s="8" t="s">
        <v>30</v>
      </c>
      <c r="D551" s="8">
        <v>0.959334</v>
      </c>
    </row>
    <row r="552" spans="1:4">
      <c r="A552" s="8" t="s">
        <v>51</v>
      </c>
      <c r="B552" s="8" t="s">
        <v>25</v>
      </c>
      <c r="C552" s="8" t="s">
        <v>34</v>
      </c>
      <c r="D552" s="8">
        <v>0.907887</v>
      </c>
    </row>
    <row r="553" spans="1:4">
      <c r="A553" s="8" t="s">
        <v>51</v>
      </c>
      <c r="B553" s="8" t="s">
        <v>25</v>
      </c>
      <c r="C553" s="8" t="s">
        <v>31</v>
      </c>
      <c r="D553" s="8">
        <v>0.941139</v>
      </c>
    </row>
    <row r="554" spans="1:4">
      <c r="A554" s="8" t="s">
        <v>51</v>
      </c>
      <c r="B554" s="8" t="s">
        <v>25</v>
      </c>
      <c r="C554" s="8" t="s">
        <v>32</v>
      </c>
      <c r="D554" s="8">
        <v>0.923127</v>
      </c>
    </row>
    <row r="555" spans="1:4">
      <c r="A555" s="8" t="s">
        <v>51</v>
      </c>
      <c r="B555" s="8" t="s">
        <v>25</v>
      </c>
      <c r="C555" s="8" t="s">
        <v>33</v>
      </c>
      <c r="D555" s="8">
        <v>0.944478</v>
      </c>
    </row>
    <row r="556" spans="1:4">
      <c r="A556" s="8" t="s">
        <v>51</v>
      </c>
      <c r="B556" s="8" t="s">
        <v>25</v>
      </c>
      <c r="C556" s="8" t="s">
        <v>27</v>
      </c>
      <c r="D556" s="8">
        <v>0.954759</v>
      </c>
    </row>
    <row r="557" spans="1:4">
      <c r="A557" s="8" t="s">
        <v>51</v>
      </c>
      <c r="B557" s="8" t="s">
        <v>25</v>
      </c>
      <c r="C557" s="8" t="s">
        <v>28</v>
      </c>
      <c r="D557" s="8">
        <v>0.956611</v>
      </c>
    </row>
    <row r="558" spans="1:4">
      <c r="A558" s="8" t="s">
        <v>51</v>
      </c>
      <c r="B558" s="8" t="s">
        <v>25</v>
      </c>
      <c r="C558" s="8" t="s">
        <v>29</v>
      </c>
      <c r="D558" s="8">
        <v>0.928065</v>
      </c>
    </row>
    <row r="559" spans="1:4">
      <c r="A559" s="8" t="s">
        <v>51</v>
      </c>
      <c r="B559" s="8" t="s">
        <v>25</v>
      </c>
      <c r="C559" s="8" t="s">
        <v>30</v>
      </c>
      <c r="D559" s="8">
        <v>0.948358</v>
      </c>
    </row>
    <row r="560" spans="1:4">
      <c r="A560" s="8" t="s">
        <v>51</v>
      </c>
      <c r="B560" s="8" t="s">
        <v>34</v>
      </c>
      <c r="C560" s="8" t="s">
        <v>31</v>
      </c>
      <c r="D560" s="8">
        <v>0.893117</v>
      </c>
    </row>
    <row r="561" spans="1:4">
      <c r="A561" s="8" t="s">
        <v>51</v>
      </c>
      <c r="B561" s="8" t="s">
        <v>34</v>
      </c>
      <c r="C561" s="8" t="s">
        <v>32</v>
      </c>
      <c r="D561" s="8">
        <v>0.901332</v>
      </c>
    </row>
    <row r="562" spans="1:4">
      <c r="A562" s="8" t="s">
        <v>51</v>
      </c>
      <c r="B562" s="8" t="s">
        <v>34</v>
      </c>
      <c r="C562" s="8" t="s">
        <v>33</v>
      </c>
      <c r="D562" s="8">
        <v>0.884029</v>
      </c>
    </row>
    <row r="563" spans="1:4">
      <c r="A563" s="8" t="s">
        <v>51</v>
      </c>
      <c r="B563" s="8" t="s">
        <v>34</v>
      </c>
      <c r="C563" s="8" t="s">
        <v>27</v>
      </c>
      <c r="D563" s="8">
        <v>0.903747</v>
      </c>
    </row>
    <row r="564" spans="1:4">
      <c r="A564" s="8" t="s">
        <v>51</v>
      </c>
      <c r="B564" s="8" t="s">
        <v>34</v>
      </c>
      <c r="C564" s="8" t="s">
        <v>28</v>
      </c>
      <c r="D564" s="8">
        <v>0.871432</v>
      </c>
    </row>
    <row r="565" spans="1:4">
      <c r="A565" s="8" t="s">
        <v>51</v>
      </c>
      <c r="B565" s="8" t="s">
        <v>34</v>
      </c>
      <c r="C565" s="8" t="s">
        <v>29</v>
      </c>
      <c r="D565" s="8">
        <v>0.90125</v>
      </c>
    </row>
    <row r="566" spans="1:4">
      <c r="A566" s="8" t="s">
        <v>51</v>
      </c>
      <c r="B566" s="8" t="s">
        <v>34</v>
      </c>
      <c r="C566" s="8" t="s">
        <v>30</v>
      </c>
      <c r="D566" s="8">
        <v>0.89977</v>
      </c>
    </row>
    <row r="567" spans="1:4">
      <c r="A567" s="8" t="s">
        <v>51</v>
      </c>
      <c r="B567" s="8" t="s">
        <v>31</v>
      </c>
      <c r="C567" s="8" t="s">
        <v>32</v>
      </c>
      <c r="D567" s="8">
        <v>0.971546</v>
      </c>
    </row>
    <row r="568" spans="1:4">
      <c r="A568" s="8" t="s">
        <v>51</v>
      </c>
      <c r="B568" s="8" t="s">
        <v>31</v>
      </c>
      <c r="C568" s="8" t="s">
        <v>33</v>
      </c>
      <c r="D568" s="8">
        <v>0.966066</v>
      </c>
    </row>
    <row r="569" spans="1:4">
      <c r="A569" s="8" t="s">
        <v>51</v>
      </c>
      <c r="B569" s="8" t="s">
        <v>31</v>
      </c>
      <c r="C569" s="8" t="s">
        <v>27</v>
      </c>
      <c r="D569" s="8">
        <v>0.931522</v>
      </c>
    </row>
    <row r="570" spans="1:4">
      <c r="A570" s="8" t="s">
        <v>51</v>
      </c>
      <c r="B570" s="8" t="s">
        <v>31</v>
      </c>
      <c r="C570" s="8" t="s">
        <v>28</v>
      </c>
      <c r="D570" s="8">
        <v>0.970346</v>
      </c>
    </row>
    <row r="571" spans="1:4">
      <c r="A571" s="8" t="s">
        <v>51</v>
      </c>
      <c r="B571" s="8" t="s">
        <v>31</v>
      </c>
      <c r="C571" s="8" t="s">
        <v>29</v>
      </c>
      <c r="D571" s="8">
        <v>0.944921</v>
      </c>
    </row>
    <row r="572" spans="1:4">
      <c r="A572" s="8" t="s">
        <v>51</v>
      </c>
      <c r="B572" s="8" t="s">
        <v>31</v>
      </c>
      <c r="C572" s="8" t="s">
        <v>30</v>
      </c>
      <c r="D572" s="8">
        <v>0.949591</v>
      </c>
    </row>
    <row r="573" spans="1:4">
      <c r="A573" s="8" t="s">
        <v>51</v>
      </c>
      <c r="B573" s="8" t="s">
        <v>32</v>
      </c>
      <c r="C573" s="8" t="s">
        <v>33</v>
      </c>
      <c r="D573" s="8">
        <v>0.960942</v>
      </c>
    </row>
    <row r="574" spans="1:4">
      <c r="A574" s="8" t="s">
        <v>51</v>
      </c>
      <c r="B574" s="8" t="s">
        <v>32</v>
      </c>
      <c r="C574" s="8" t="s">
        <v>27</v>
      </c>
      <c r="D574" s="8">
        <v>0.927015</v>
      </c>
    </row>
    <row r="575" spans="1:4">
      <c r="A575" s="8" t="s">
        <v>51</v>
      </c>
      <c r="B575" s="8" t="s">
        <v>32</v>
      </c>
      <c r="C575" s="8" t="s">
        <v>28</v>
      </c>
      <c r="D575" s="8">
        <v>0.962157</v>
      </c>
    </row>
    <row r="576" spans="1:4">
      <c r="A576" s="8" t="s">
        <v>51</v>
      </c>
      <c r="B576" s="8" t="s">
        <v>32</v>
      </c>
      <c r="C576" s="8" t="s">
        <v>29</v>
      </c>
      <c r="D576" s="8">
        <v>0.939344</v>
      </c>
    </row>
    <row r="577" spans="1:4">
      <c r="A577" s="8" t="s">
        <v>51</v>
      </c>
      <c r="B577" s="8" t="s">
        <v>32</v>
      </c>
      <c r="C577" s="8" t="s">
        <v>30</v>
      </c>
      <c r="D577" s="8">
        <v>0.944386</v>
      </c>
    </row>
    <row r="578" spans="1:4">
      <c r="A578" s="8" t="s">
        <v>51</v>
      </c>
      <c r="B578" s="8" t="s">
        <v>33</v>
      </c>
      <c r="C578" s="8" t="s">
        <v>27</v>
      </c>
      <c r="D578" s="8">
        <v>0.964971</v>
      </c>
    </row>
    <row r="579" spans="1:4">
      <c r="A579" s="8" t="s">
        <v>51</v>
      </c>
      <c r="B579" s="8" t="s">
        <v>33</v>
      </c>
      <c r="C579" s="8" t="s">
        <v>28</v>
      </c>
      <c r="D579" s="8">
        <v>0.98149</v>
      </c>
    </row>
    <row r="580" spans="1:4">
      <c r="A580" s="8" t="s">
        <v>51</v>
      </c>
      <c r="B580" s="8" t="s">
        <v>33</v>
      </c>
      <c r="C580" s="8" t="s">
        <v>29</v>
      </c>
      <c r="D580" s="8">
        <v>0.946192</v>
      </c>
    </row>
    <row r="581" spans="1:4">
      <c r="A581" s="8" t="s">
        <v>51</v>
      </c>
      <c r="B581" s="8" t="s">
        <v>33</v>
      </c>
      <c r="C581" s="8" t="s">
        <v>30</v>
      </c>
      <c r="D581" s="8">
        <v>0.966649</v>
      </c>
    </row>
    <row r="582" spans="1:4">
      <c r="A582" s="8" t="s">
        <v>51</v>
      </c>
      <c r="B582" s="8" t="s">
        <v>27</v>
      </c>
      <c r="C582" s="8" t="s">
        <v>28</v>
      </c>
      <c r="D582" s="8">
        <v>0.95369</v>
      </c>
    </row>
    <row r="583" spans="1:4">
      <c r="A583" s="8" t="s">
        <v>51</v>
      </c>
      <c r="B583" s="8" t="s">
        <v>27</v>
      </c>
      <c r="C583" s="8" t="s">
        <v>29</v>
      </c>
      <c r="D583" s="8">
        <v>0.954162</v>
      </c>
    </row>
    <row r="584" spans="1:4">
      <c r="A584" s="8" t="s">
        <v>51</v>
      </c>
      <c r="B584" s="8" t="s">
        <v>27</v>
      </c>
      <c r="C584" s="8" t="s">
        <v>30</v>
      </c>
      <c r="D584" s="8">
        <v>0.967004</v>
      </c>
    </row>
    <row r="585" spans="1:4">
      <c r="A585" s="8" t="s">
        <v>51</v>
      </c>
      <c r="B585" s="8" t="s">
        <v>28</v>
      </c>
      <c r="C585" s="8" t="s">
        <v>29</v>
      </c>
      <c r="D585" s="8">
        <v>0.944079</v>
      </c>
    </row>
    <row r="586" spans="1:4">
      <c r="A586" s="8" t="s">
        <v>51</v>
      </c>
      <c r="B586" s="8" t="s">
        <v>28</v>
      </c>
      <c r="C586" s="8" t="s">
        <v>30</v>
      </c>
      <c r="D586" s="8">
        <v>0.962353</v>
      </c>
    </row>
    <row r="587" spans="1:4">
      <c r="A587" s="8" t="s">
        <v>51</v>
      </c>
      <c r="B587" s="8" t="s">
        <v>29</v>
      </c>
      <c r="C587" s="8" t="s">
        <v>30</v>
      </c>
      <c r="D587" s="8">
        <v>0.9732</v>
      </c>
    </row>
    <row r="588" spans="1:4">
      <c r="A588" s="8" t="s">
        <v>52</v>
      </c>
      <c r="B588" s="8" t="s">
        <v>26</v>
      </c>
      <c r="C588" s="8" t="s">
        <v>24</v>
      </c>
      <c r="D588" s="8">
        <v>0.919887</v>
      </c>
    </row>
    <row r="589" spans="1:4">
      <c r="A589" s="8" t="s">
        <v>52</v>
      </c>
      <c r="B589" s="8" t="s">
        <v>26</v>
      </c>
      <c r="C589" s="8" t="s">
        <v>25</v>
      </c>
      <c r="D589" s="8">
        <v>0.976716</v>
      </c>
    </row>
    <row r="590" spans="1:4">
      <c r="A590" s="8" t="s">
        <v>52</v>
      </c>
      <c r="B590" s="8" t="s">
        <v>26</v>
      </c>
      <c r="C590" s="8" t="s">
        <v>34</v>
      </c>
      <c r="D590" s="8">
        <v>0.886544</v>
      </c>
    </row>
    <row r="591" spans="1:4">
      <c r="A591" s="8" t="s">
        <v>52</v>
      </c>
      <c r="B591" s="8" t="s">
        <v>26</v>
      </c>
      <c r="C591" s="8" t="s">
        <v>31</v>
      </c>
      <c r="D591" s="8">
        <v>0.973539</v>
      </c>
    </row>
    <row r="592" spans="1:4">
      <c r="A592" s="8" t="s">
        <v>52</v>
      </c>
      <c r="B592" s="8" t="s">
        <v>26</v>
      </c>
      <c r="C592" s="8" t="s">
        <v>32</v>
      </c>
      <c r="D592" s="8">
        <v>0.97942</v>
      </c>
    </row>
    <row r="593" spans="1:4">
      <c r="A593" s="8" t="s">
        <v>52</v>
      </c>
      <c r="B593" s="8" t="s">
        <v>26</v>
      </c>
      <c r="C593" s="8" t="s">
        <v>33</v>
      </c>
      <c r="D593" s="8">
        <v>0.971109</v>
      </c>
    </row>
    <row r="594" spans="1:4">
      <c r="A594" s="8" t="s">
        <v>52</v>
      </c>
      <c r="B594" s="8" t="s">
        <v>26</v>
      </c>
      <c r="C594" s="8" t="s">
        <v>27</v>
      </c>
      <c r="D594" s="8">
        <v>0.964856</v>
      </c>
    </row>
    <row r="595" spans="1:4">
      <c r="A595" s="8" t="s">
        <v>52</v>
      </c>
      <c r="B595" s="8" t="s">
        <v>26</v>
      </c>
      <c r="C595" s="8" t="s">
        <v>28</v>
      </c>
      <c r="D595" s="8">
        <v>0.971501</v>
      </c>
    </row>
    <row r="596" spans="1:4">
      <c r="A596" s="8" t="s">
        <v>52</v>
      </c>
      <c r="B596" s="8" t="s">
        <v>26</v>
      </c>
      <c r="C596" s="8" t="s">
        <v>29</v>
      </c>
      <c r="D596" s="8">
        <v>0.975157</v>
      </c>
    </row>
    <row r="597" spans="1:4">
      <c r="A597" s="8" t="s">
        <v>52</v>
      </c>
      <c r="B597" s="8" t="s">
        <v>26</v>
      </c>
      <c r="C597" s="8" t="s">
        <v>30</v>
      </c>
      <c r="D597" s="8">
        <v>0.981488</v>
      </c>
    </row>
    <row r="598" spans="1:4">
      <c r="A598" s="8" t="s">
        <v>52</v>
      </c>
      <c r="B598" s="8" t="s">
        <v>24</v>
      </c>
      <c r="C598" s="8" t="s">
        <v>25</v>
      </c>
      <c r="D598" s="8">
        <v>0.909759</v>
      </c>
    </row>
    <row r="599" spans="1:4">
      <c r="A599" s="8" t="s">
        <v>52</v>
      </c>
      <c r="B599" s="8" t="s">
        <v>24</v>
      </c>
      <c r="C599" s="8" t="s">
        <v>34</v>
      </c>
      <c r="D599" s="8">
        <v>0.901766</v>
      </c>
    </row>
    <row r="600" spans="1:4">
      <c r="A600" s="8" t="s">
        <v>52</v>
      </c>
      <c r="B600" s="8" t="s">
        <v>24</v>
      </c>
      <c r="C600" s="8" t="s">
        <v>31</v>
      </c>
      <c r="D600" s="8">
        <v>0.8967</v>
      </c>
    </row>
    <row r="601" spans="1:4">
      <c r="A601" s="8" t="s">
        <v>52</v>
      </c>
      <c r="B601" s="8" t="s">
        <v>24</v>
      </c>
      <c r="C601" s="8" t="s">
        <v>32</v>
      </c>
      <c r="D601" s="8">
        <v>0.899203</v>
      </c>
    </row>
    <row r="602" spans="1:4">
      <c r="A602" s="8" t="s">
        <v>52</v>
      </c>
      <c r="B602" s="8" t="s">
        <v>24</v>
      </c>
      <c r="C602" s="8" t="s">
        <v>33</v>
      </c>
      <c r="D602" s="8">
        <v>0.917374</v>
      </c>
    </row>
    <row r="603" spans="1:4">
      <c r="A603" s="8" t="s">
        <v>52</v>
      </c>
      <c r="B603" s="8" t="s">
        <v>24</v>
      </c>
      <c r="C603" s="8" t="s">
        <v>27</v>
      </c>
      <c r="D603" s="8">
        <v>0.891396</v>
      </c>
    </row>
    <row r="604" spans="1:4">
      <c r="A604" s="8" t="s">
        <v>52</v>
      </c>
      <c r="B604" s="8" t="s">
        <v>24</v>
      </c>
      <c r="C604" s="8" t="s">
        <v>28</v>
      </c>
      <c r="D604" s="8">
        <v>0.906969</v>
      </c>
    </row>
    <row r="605" spans="1:4">
      <c r="A605" s="8" t="s">
        <v>52</v>
      </c>
      <c r="B605" s="8" t="s">
        <v>24</v>
      </c>
      <c r="C605" s="8" t="s">
        <v>29</v>
      </c>
      <c r="D605" s="8">
        <v>0.895598</v>
      </c>
    </row>
    <row r="606" spans="1:4">
      <c r="A606" s="8" t="s">
        <v>52</v>
      </c>
      <c r="B606" s="8" t="s">
        <v>24</v>
      </c>
      <c r="C606" s="8" t="s">
        <v>30</v>
      </c>
      <c r="D606" s="8">
        <v>0.894092</v>
      </c>
    </row>
    <row r="607" spans="1:4">
      <c r="A607" s="8" t="s">
        <v>52</v>
      </c>
      <c r="B607" s="8" t="s">
        <v>25</v>
      </c>
      <c r="C607" s="8" t="s">
        <v>34</v>
      </c>
      <c r="D607" s="8">
        <v>0.861091</v>
      </c>
    </row>
    <row r="608" spans="1:4">
      <c r="A608" s="8" t="s">
        <v>52</v>
      </c>
      <c r="B608" s="8" t="s">
        <v>25</v>
      </c>
      <c r="C608" s="8" t="s">
        <v>31</v>
      </c>
      <c r="D608" s="8">
        <v>0.964689</v>
      </c>
    </row>
    <row r="609" spans="1:4">
      <c r="A609" s="8" t="s">
        <v>52</v>
      </c>
      <c r="B609" s="8" t="s">
        <v>25</v>
      </c>
      <c r="C609" s="8" t="s">
        <v>32</v>
      </c>
      <c r="D609" s="8">
        <v>0.967971</v>
      </c>
    </row>
    <row r="610" spans="1:4">
      <c r="A610" s="8" t="s">
        <v>52</v>
      </c>
      <c r="B610" s="8" t="s">
        <v>25</v>
      </c>
      <c r="C610" s="8" t="s">
        <v>33</v>
      </c>
      <c r="D610" s="8">
        <v>0.974704</v>
      </c>
    </row>
    <row r="611" spans="1:4">
      <c r="A611" s="8" t="s">
        <v>52</v>
      </c>
      <c r="B611" s="8" t="s">
        <v>25</v>
      </c>
      <c r="C611" s="8" t="s">
        <v>27</v>
      </c>
      <c r="D611" s="8">
        <v>0.958811</v>
      </c>
    </row>
    <row r="612" spans="1:4">
      <c r="A612" s="8" t="s">
        <v>52</v>
      </c>
      <c r="B612" s="8" t="s">
        <v>25</v>
      </c>
      <c r="C612" s="8" t="s">
        <v>28</v>
      </c>
      <c r="D612" s="8">
        <v>0.962594</v>
      </c>
    </row>
    <row r="613" spans="1:4">
      <c r="A613" s="8" t="s">
        <v>52</v>
      </c>
      <c r="B613" s="8" t="s">
        <v>25</v>
      </c>
      <c r="C613" s="8" t="s">
        <v>29</v>
      </c>
      <c r="D613" s="8">
        <v>0.953765</v>
      </c>
    </row>
    <row r="614" spans="1:4">
      <c r="A614" s="8" t="s">
        <v>52</v>
      </c>
      <c r="B614" s="8" t="s">
        <v>25</v>
      </c>
      <c r="C614" s="8" t="s">
        <v>30</v>
      </c>
      <c r="D614" s="8">
        <v>0.970954</v>
      </c>
    </row>
    <row r="615" spans="1:4">
      <c r="A615" s="8" t="s">
        <v>52</v>
      </c>
      <c r="B615" s="8" t="s">
        <v>34</v>
      </c>
      <c r="C615" s="8" t="s">
        <v>31</v>
      </c>
      <c r="D615" s="8">
        <v>0.872436</v>
      </c>
    </row>
    <row r="616" spans="1:4">
      <c r="A616" s="8" t="s">
        <v>52</v>
      </c>
      <c r="B616" s="8" t="s">
        <v>34</v>
      </c>
      <c r="C616" s="8" t="s">
        <v>32</v>
      </c>
      <c r="D616" s="8">
        <v>0.883291</v>
      </c>
    </row>
    <row r="617" spans="1:4">
      <c r="A617" s="8" t="s">
        <v>52</v>
      </c>
      <c r="B617" s="8" t="s">
        <v>34</v>
      </c>
      <c r="C617" s="8" t="s">
        <v>33</v>
      </c>
      <c r="D617" s="8">
        <v>0.878629</v>
      </c>
    </row>
    <row r="618" spans="1:4">
      <c r="A618" s="8" t="s">
        <v>52</v>
      </c>
      <c r="B618" s="8" t="s">
        <v>34</v>
      </c>
      <c r="C618" s="8" t="s">
        <v>27</v>
      </c>
      <c r="D618" s="8">
        <v>0.878892</v>
      </c>
    </row>
    <row r="619" spans="1:4">
      <c r="A619" s="8" t="s">
        <v>52</v>
      </c>
      <c r="B619" s="8" t="s">
        <v>34</v>
      </c>
      <c r="C619" s="8" t="s">
        <v>28</v>
      </c>
      <c r="D619" s="8">
        <v>0.885306</v>
      </c>
    </row>
    <row r="620" spans="1:4">
      <c r="A620" s="8" t="s">
        <v>52</v>
      </c>
      <c r="B620" s="8" t="s">
        <v>34</v>
      </c>
      <c r="C620" s="8" t="s">
        <v>29</v>
      </c>
      <c r="D620" s="8">
        <v>0.881507</v>
      </c>
    </row>
    <row r="621" spans="1:4">
      <c r="A621" s="8" t="s">
        <v>52</v>
      </c>
      <c r="B621" s="8" t="s">
        <v>34</v>
      </c>
      <c r="C621" s="8" t="s">
        <v>30</v>
      </c>
      <c r="D621" s="8">
        <v>0.867462</v>
      </c>
    </row>
    <row r="622" spans="1:4">
      <c r="A622" s="8" t="s">
        <v>52</v>
      </c>
      <c r="B622" s="8" t="s">
        <v>31</v>
      </c>
      <c r="C622" s="8" t="s">
        <v>32</v>
      </c>
      <c r="D622" s="8">
        <v>0.982676</v>
      </c>
    </row>
    <row r="623" spans="1:4">
      <c r="A623" s="8" t="s">
        <v>52</v>
      </c>
      <c r="B623" s="8" t="s">
        <v>31</v>
      </c>
      <c r="C623" s="8" t="s">
        <v>33</v>
      </c>
      <c r="D623" s="8">
        <v>0.966169</v>
      </c>
    </row>
    <row r="624" spans="1:4">
      <c r="A624" s="8" t="s">
        <v>52</v>
      </c>
      <c r="B624" s="8" t="s">
        <v>31</v>
      </c>
      <c r="C624" s="8" t="s">
        <v>27</v>
      </c>
      <c r="D624" s="8">
        <v>0.971958</v>
      </c>
    </row>
    <row r="625" spans="1:4">
      <c r="A625" s="8" t="s">
        <v>52</v>
      </c>
      <c r="B625" s="8" t="s">
        <v>31</v>
      </c>
      <c r="C625" s="8" t="s">
        <v>28</v>
      </c>
      <c r="D625" s="8">
        <v>0.982933</v>
      </c>
    </row>
    <row r="626" spans="1:4">
      <c r="A626" s="8" t="s">
        <v>52</v>
      </c>
      <c r="B626" s="8" t="s">
        <v>31</v>
      </c>
      <c r="C626" s="8" t="s">
        <v>29</v>
      </c>
      <c r="D626" s="8">
        <v>0.959642</v>
      </c>
    </row>
    <row r="627" spans="1:4">
      <c r="A627" s="8" t="s">
        <v>52</v>
      </c>
      <c r="B627" s="8" t="s">
        <v>31</v>
      </c>
      <c r="C627" s="8" t="s">
        <v>30</v>
      </c>
      <c r="D627" s="8">
        <v>0.983002</v>
      </c>
    </row>
    <row r="628" spans="1:4">
      <c r="A628" s="8" t="s">
        <v>52</v>
      </c>
      <c r="B628" s="8" t="s">
        <v>32</v>
      </c>
      <c r="C628" s="8" t="s">
        <v>33</v>
      </c>
      <c r="D628" s="8">
        <v>0.972372</v>
      </c>
    </row>
    <row r="629" spans="1:4">
      <c r="A629" s="8" t="s">
        <v>52</v>
      </c>
      <c r="B629" s="8" t="s">
        <v>32</v>
      </c>
      <c r="C629" s="8" t="s">
        <v>27</v>
      </c>
      <c r="D629" s="8">
        <v>0.977912</v>
      </c>
    </row>
    <row r="630" spans="1:4">
      <c r="A630" s="8" t="s">
        <v>52</v>
      </c>
      <c r="B630" s="8" t="s">
        <v>32</v>
      </c>
      <c r="C630" s="8" t="s">
        <v>28</v>
      </c>
      <c r="D630" s="8">
        <v>0.976038</v>
      </c>
    </row>
    <row r="631" spans="1:4">
      <c r="A631" s="8" t="s">
        <v>52</v>
      </c>
      <c r="B631" s="8" t="s">
        <v>32</v>
      </c>
      <c r="C631" s="8" t="s">
        <v>29</v>
      </c>
      <c r="D631" s="8">
        <v>0.972624</v>
      </c>
    </row>
    <row r="632" spans="1:4">
      <c r="A632" s="8" t="s">
        <v>52</v>
      </c>
      <c r="B632" s="8" t="s">
        <v>32</v>
      </c>
      <c r="C632" s="8" t="s">
        <v>30</v>
      </c>
      <c r="D632" s="8">
        <v>0.986627</v>
      </c>
    </row>
    <row r="633" spans="1:4">
      <c r="A633" s="8" t="s">
        <v>52</v>
      </c>
      <c r="B633" s="8" t="s">
        <v>33</v>
      </c>
      <c r="C633" s="8" t="s">
        <v>27</v>
      </c>
      <c r="D633" s="8">
        <v>0.967706</v>
      </c>
    </row>
    <row r="634" spans="1:4">
      <c r="A634" s="8" t="s">
        <v>52</v>
      </c>
      <c r="B634" s="8" t="s">
        <v>33</v>
      </c>
      <c r="C634" s="8" t="s">
        <v>28</v>
      </c>
      <c r="D634" s="8">
        <v>0.966012</v>
      </c>
    </row>
    <row r="635" spans="1:4">
      <c r="A635" s="8" t="s">
        <v>52</v>
      </c>
      <c r="B635" s="8" t="s">
        <v>33</v>
      </c>
      <c r="C635" s="8" t="s">
        <v>29</v>
      </c>
      <c r="D635" s="8">
        <v>0.965769</v>
      </c>
    </row>
    <row r="636" spans="1:4">
      <c r="A636" s="8" t="s">
        <v>52</v>
      </c>
      <c r="B636" s="8" t="s">
        <v>33</v>
      </c>
      <c r="C636" s="8" t="s">
        <v>30</v>
      </c>
      <c r="D636" s="8">
        <v>0.965581</v>
      </c>
    </row>
    <row r="637" spans="1:4">
      <c r="A637" s="8" t="s">
        <v>52</v>
      </c>
      <c r="B637" s="8" t="s">
        <v>27</v>
      </c>
      <c r="C637" s="8" t="s">
        <v>28</v>
      </c>
      <c r="D637" s="8">
        <v>0.98161</v>
      </c>
    </row>
    <row r="638" spans="1:4">
      <c r="A638" s="8" t="s">
        <v>52</v>
      </c>
      <c r="B638" s="8" t="s">
        <v>27</v>
      </c>
      <c r="C638" s="8" t="s">
        <v>29</v>
      </c>
      <c r="D638" s="8">
        <v>0.975013</v>
      </c>
    </row>
    <row r="639" spans="1:4">
      <c r="A639" s="8" t="s">
        <v>52</v>
      </c>
      <c r="B639" s="8" t="s">
        <v>27</v>
      </c>
      <c r="C639" s="8" t="s">
        <v>30</v>
      </c>
      <c r="D639" s="8">
        <v>0.97738</v>
      </c>
    </row>
    <row r="640" spans="1:4">
      <c r="A640" s="8" t="s">
        <v>52</v>
      </c>
      <c r="B640" s="8" t="s">
        <v>28</v>
      </c>
      <c r="C640" s="8" t="s">
        <v>29</v>
      </c>
      <c r="D640" s="8">
        <v>0.961387</v>
      </c>
    </row>
    <row r="641" spans="1:4">
      <c r="A641" s="8" t="s">
        <v>52</v>
      </c>
      <c r="B641" s="8" t="s">
        <v>28</v>
      </c>
      <c r="C641" s="8" t="s">
        <v>30</v>
      </c>
      <c r="D641" s="8">
        <v>0.979079</v>
      </c>
    </row>
    <row r="642" spans="1:4">
      <c r="A642" s="8" t="s">
        <v>52</v>
      </c>
      <c r="B642" s="8" t="s">
        <v>29</v>
      </c>
      <c r="C642" s="8" t="s">
        <v>30</v>
      </c>
      <c r="D642" s="8">
        <v>0.970015</v>
      </c>
    </row>
    <row r="643" spans="1:4">
      <c r="A643" s="8" t="s">
        <v>53</v>
      </c>
      <c r="B643" s="8" t="s">
        <v>26</v>
      </c>
      <c r="C643" s="8" t="s">
        <v>24</v>
      </c>
      <c r="D643" s="8">
        <v>0.848856</v>
      </c>
    </row>
    <row r="644" spans="1:4">
      <c r="A644" s="8" t="s">
        <v>53</v>
      </c>
      <c r="B644" s="8" t="s">
        <v>26</v>
      </c>
      <c r="C644" s="8" t="s">
        <v>25</v>
      </c>
      <c r="D644" s="8">
        <v>0.938092</v>
      </c>
    </row>
    <row r="645" spans="1:4">
      <c r="A645" s="8" t="s">
        <v>53</v>
      </c>
      <c r="B645" s="8" t="s">
        <v>26</v>
      </c>
      <c r="C645" s="8" t="s">
        <v>34</v>
      </c>
      <c r="D645" s="8">
        <v>0.905106</v>
      </c>
    </row>
    <row r="646" spans="1:4">
      <c r="A646" s="8" t="s">
        <v>53</v>
      </c>
      <c r="B646" s="8" t="s">
        <v>26</v>
      </c>
      <c r="C646" s="8" t="s">
        <v>31</v>
      </c>
      <c r="D646" s="8">
        <v>0.950801</v>
      </c>
    </row>
    <row r="647" spans="1:4">
      <c r="A647" s="8" t="s">
        <v>53</v>
      </c>
      <c r="B647" s="8" t="s">
        <v>26</v>
      </c>
      <c r="C647" s="8" t="s">
        <v>32</v>
      </c>
      <c r="D647" s="8">
        <v>0.941681</v>
      </c>
    </row>
    <row r="648" spans="1:4">
      <c r="A648" s="8" t="s">
        <v>53</v>
      </c>
      <c r="B648" s="8" t="s">
        <v>26</v>
      </c>
      <c r="C648" s="8" t="s">
        <v>33</v>
      </c>
      <c r="D648" s="8">
        <v>0.952676</v>
      </c>
    </row>
    <row r="649" spans="1:4">
      <c r="A649" s="8" t="s">
        <v>53</v>
      </c>
      <c r="B649" s="8" t="s">
        <v>26</v>
      </c>
      <c r="C649" s="8" t="s">
        <v>27</v>
      </c>
      <c r="D649" s="8">
        <v>0.941656</v>
      </c>
    </row>
    <row r="650" spans="1:4">
      <c r="A650" s="8" t="s">
        <v>53</v>
      </c>
      <c r="B650" s="8" t="s">
        <v>26</v>
      </c>
      <c r="C650" s="8" t="s">
        <v>28</v>
      </c>
      <c r="D650" s="8">
        <v>0.952493</v>
      </c>
    </row>
    <row r="651" spans="1:4">
      <c r="A651" s="8" t="s">
        <v>53</v>
      </c>
      <c r="B651" s="8" t="s">
        <v>26</v>
      </c>
      <c r="C651" s="8" t="s">
        <v>29</v>
      </c>
      <c r="D651" s="8">
        <v>0.912165</v>
      </c>
    </row>
    <row r="652" spans="1:4">
      <c r="A652" s="8" t="s">
        <v>53</v>
      </c>
      <c r="B652" s="8" t="s">
        <v>26</v>
      </c>
      <c r="C652" s="8" t="s">
        <v>30</v>
      </c>
      <c r="D652" s="8">
        <v>0.945393</v>
      </c>
    </row>
    <row r="653" spans="1:4">
      <c r="A653" s="8" t="s">
        <v>53</v>
      </c>
      <c r="B653" s="8" t="s">
        <v>24</v>
      </c>
      <c r="C653" s="8" t="s">
        <v>25</v>
      </c>
      <c r="D653" s="8">
        <v>0.906691</v>
      </c>
    </row>
    <row r="654" spans="1:4">
      <c r="A654" s="8" t="s">
        <v>53</v>
      </c>
      <c r="B654" s="8" t="s">
        <v>24</v>
      </c>
      <c r="C654" s="8" t="s">
        <v>34</v>
      </c>
      <c r="D654" s="8">
        <v>0.900269</v>
      </c>
    </row>
    <row r="655" spans="1:4">
      <c r="A655" s="8" t="s">
        <v>53</v>
      </c>
      <c r="B655" s="8" t="s">
        <v>24</v>
      </c>
      <c r="C655" s="8" t="s">
        <v>31</v>
      </c>
      <c r="D655" s="8">
        <v>0.877005</v>
      </c>
    </row>
    <row r="656" spans="1:4">
      <c r="A656" s="8" t="s">
        <v>53</v>
      </c>
      <c r="B656" s="8" t="s">
        <v>24</v>
      </c>
      <c r="C656" s="8" t="s">
        <v>32</v>
      </c>
      <c r="D656" s="8">
        <v>0.886037</v>
      </c>
    </row>
    <row r="657" spans="1:4">
      <c r="A657" s="8" t="s">
        <v>53</v>
      </c>
      <c r="B657" s="8" t="s">
        <v>24</v>
      </c>
      <c r="C657" s="8" t="s">
        <v>33</v>
      </c>
      <c r="D657" s="8">
        <v>0.863509</v>
      </c>
    </row>
    <row r="658" spans="1:4">
      <c r="A658" s="8" t="s">
        <v>53</v>
      </c>
      <c r="B658" s="8" t="s">
        <v>24</v>
      </c>
      <c r="C658" s="8" t="s">
        <v>27</v>
      </c>
      <c r="D658" s="8">
        <v>0.885779</v>
      </c>
    </row>
    <row r="659" spans="1:4">
      <c r="A659" s="8" t="s">
        <v>53</v>
      </c>
      <c r="B659" s="8" t="s">
        <v>24</v>
      </c>
      <c r="C659" s="8" t="s">
        <v>28</v>
      </c>
      <c r="D659" s="8">
        <v>0.849506</v>
      </c>
    </row>
    <row r="660" spans="1:4">
      <c r="A660" s="8" t="s">
        <v>53</v>
      </c>
      <c r="B660" s="8" t="s">
        <v>24</v>
      </c>
      <c r="C660" s="8" t="s">
        <v>29</v>
      </c>
      <c r="D660" s="8">
        <v>0.888167</v>
      </c>
    </row>
    <row r="661" spans="1:4">
      <c r="A661" s="8" t="s">
        <v>53</v>
      </c>
      <c r="B661" s="8" t="s">
        <v>24</v>
      </c>
      <c r="C661" s="8" t="s">
        <v>30</v>
      </c>
      <c r="D661" s="8">
        <v>0.888321</v>
      </c>
    </row>
    <row r="662" spans="1:4">
      <c r="A662" s="8" t="s">
        <v>53</v>
      </c>
      <c r="B662" s="8" t="s">
        <v>25</v>
      </c>
      <c r="C662" s="8" t="s">
        <v>34</v>
      </c>
      <c r="D662" s="8">
        <v>0.934915</v>
      </c>
    </row>
    <row r="663" spans="1:4">
      <c r="A663" s="8" t="s">
        <v>53</v>
      </c>
      <c r="B663" s="8" t="s">
        <v>25</v>
      </c>
      <c r="C663" s="8" t="s">
        <v>31</v>
      </c>
      <c r="D663" s="8">
        <v>0.966244</v>
      </c>
    </row>
    <row r="664" spans="1:4">
      <c r="A664" s="8" t="s">
        <v>53</v>
      </c>
      <c r="B664" s="8" t="s">
        <v>25</v>
      </c>
      <c r="C664" s="8" t="s">
        <v>32</v>
      </c>
      <c r="D664" s="8">
        <v>0.964758</v>
      </c>
    </row>
    <row r="665" spans="1:4">
      <c r="A665" s="8" t="s">
        <v>53</v>
      </c>
      <c r="B665" s="8" t="s">
        <v>25</v>
      </c>
      <c r="C665" s="8" t="s">
        <v>33</v>
      </c>
      <c r="D665" s="8">
        <v>0.936981</v>
      </c>
    </row>
    <row r="666" spans="1:4">
      <c r="A666" s="8" t="s">
        <v>53</v>
      </c>
      <c r="B666" s="8" t="s">
        <v>25</v>
      </c>
      <c r="C666" s="8" t="s">
        <v>27</v>
      </c>
      <c r="D666" s="8">
        <v>0.963195</v>
      </c>
    </row>
    <row r="667" spans="1:4">
      <c r="A667" s="8" t="s">
        <v>53</v>
      </c>
      <c r="B667" s="8" t="s">
        <v>25</v>
      </c>
      <c r="C667" s="8" t="s">
        <v>28</v>
      </c>
      <c r="D667" s="8">
        <v>0.950691</v>
      </c>
    </row>
    <row r="668" spans="1:4">
      <c r="A668" s="8" t="s">
        <v>53</v>
      </c>
      <c r="B668" s="8" t="s">
        <v>25</v>
      </c>
      <c r="C668" s="8" t="s">
        <v>29</v>
      </c>
      <c r="D668" s="8">
        <v>0.928464</v>
      </c>
    </row>
    <row r="669" spans="1:4">
      <c r="A669" s="8" t="s">
        <v>53</v>
      </c>
      <c r="B669" s="8" t="s">
        <v>25</v>
      </c>
      <c r="C669" s="8" t="s">
        <v>30</v>
      </c>
      <c r="D669" s="8">
        <v>0.958891</v>
      </c>
    </row>
    <row r="670" spans="1:4">
      <c r="A670" s="8" t="s">
        <v>53</v>
      </c>
      <c r="B670" s="8" t="s">
        <v>34</v>
      </c>
      <c r="C670" s="8" t="s">
        <v>31</v>
      </c>
      <c r="D670" s="8">
        <v>0.933511</v>
      </c>
    </row>
    <row r="671" spans="1:4">
      <c r="A671" s="8" t="s">
        <v>53</v>
      </c>
      <c r="B671" s="8" t="s">
        <v>34</v>
      </c>
      <c r="C671" s="8" t="s">
        <v>32</v>
      </c>
      <c r="D671" s="8">
        <v>0.92267</v>
      </c>
    </row>
    <row r="672" spans="1:4">
      <c r="A672" s="8" t="s">
        <v>53</v>
      </c>
      <c r="B672" s="8" t="s">
        <v>34</v>
      </c>
      <c r="C672" s="8" t="s">
        <v>33</v>
      </c>
      <c r="D672" s="8">
        <v>0.920683</v>
      </c>
    </row>
    <row r="673" spans="1:4">
      <c r="A673" s="8" t="s">
        <v>53</v>
      </c>
      <c r="B673" s="8" t="s">
        <v>34</v>
      </c>
      <c r="C673" s="8" t="s">
        <v>27</v>
      </c>
      <c r="D673" s="8">
        <v>0.920748</v>
      </c>
    </row>
    <row r="674" spans="1:4">
      <c r="A674" s="8" t="s">
        <v>53</v>
      </c>
      <c r="B674" s="8" t="s">
        <v>34</v>
      </c>
      <c r="C674" s="8" t="s">
        <v>28</v>
      </c>
      <c r="D674" s="8">
        <v>0.915872</v>
      </c>
    </row>
    <row r="675" spans="1:4">
      <c r="A675" s="8" t="s">
        <v>53</v>
      </c>
      <c r="B675" s="8" t="s">
        <v>34</v>
      </c>
      <c r="C675" s="8" t="s">
        <v>29</v>
      </c>
      <c r="D675" s="8">
        <v>0.954169</v>
      </c>
    </row>
    <row r="676" spans="1:4">
      <c r="A676" s="8" t="s">
        <v>53</v>
      </c>
      <c r="B676" s="8" t="s">
        <v>34</v>
      </c>
      <c r="C676" s="8" t="s">
        <v>30</v>
      </c>
      <c r="D676" s="8">
        <v>0.930104</v>
      </c>
    </row>
    <row r="677" spans="1:4">
      <c r="A677" s="8" t="s">
        <v>53</v>
      </c>
      <c r="B677" s="8" t="s">
        <v>31</v>
      </c>
      <c r="C677" s="8" t="s">
        <v>32</v>
      </c>
      <c r="D677" s="8">
        <v>0.988402</v>
      </c>
    </row>
    <row r="678" spans="1:4">
      <c r="A678" s="8" t="s">
        <v>53</v>
      </c>
      <c r="B678" s="8" t="s">
        <v>31</v>
      </c>
      <c r="C678" s="8" t="s">
        <v>33</v>
      </c>
      <c r="D678" s="8">
        <v>0.974785</v>
      </c>
    </row>
    <row r="679" spans="1:4">
      <c r="A679" s="8" t="s">
        <v>53</v>
      </c>
      <c r="B679" s="8" t="s">
        <v>31</v>
      </c>
      <c r="C679" s="8" t="s">
        <v>27</v>
      </c>
      <c r="D679" s="8">
        <v>0.987231</v>
      </c>
    </row>
    <row r="680" spans="1:4">
      <c r="A680" s="8" t="s">
        <v>53</v>
      </c>
      <c r="B680" s="8" t="s">
        <v>31</v>
      </c>
      <c r="C680" s="8" t="s">
        <v>28</v>
      </c>
      <c r="D680" s="8">
        <v>0.978873</v>
      </c>
    </row>
    <row r="681" spans="1:4">
      <c r="A681" s="8" t="s">
        <v>53</v>
      </c>
      <c r="B681" s="8" t="s">
        <v>31</v>
      </c>
      <c r="C681" s="8" t="s">
        <v>29</v>
      </c>
      <c r="D681" s="8">
        <v>0.93274</v>
      </c>
    </row>
    <row r="682" spans="1:4">
      <c r="A682" s="8" t="s">
        <v>53</v>
      </c>
      <c r="B682" s="8" t="s">
        <v>31</v>
      </c>
      <c r="C682" s="8" t="s">
        <v>30</v>
      </c>
      <c r="D682" s="8">
        <v>0.978777</v>
      </c>
    </row>
    <row r="683" spans="1:4">
      <c r="A683" s="8" t="s">
        <v>53</v>
      </c>
      <c r="B683" s="8" t="s">
        <v>32</v>
      </c>
      <c r="C683" s="8" t="s">
        <v>33</v>
      </c>
      <c r="D683" s="8">
        <v>0.964923</v>
      </c>
    </row>
    <row r="684" spans="1:4">
      <c r="A684" s="8" t="s">
        <v>53</v>
      </c>
      <c r="B684" s="8" t="s">
        <v>32</v>
      </c>
      <c r="C684" s="8" t="s">
        <v>27</v>
      </c>
      <c r="D684" s="8">
        <v>0.987722</v>
      </c>
    </row>
    <row r="685" spans="1:4">
      <c r="A685" s="8" t="s">
        <v>53</v>
      </c>
      <c r="B685" s="8" t="s">
        <v>32</v>
      </c>
      <c r="C685" s="8" t="s">
        <v>28</v>
      </c>
      <c r="D685" s="8">
        <v>0.97705</v>
      </c>
    </row>
    <row r="686" spans="1:4">
      <c r="A686" s="8" t="s">
        <v>53</v>
      </c>
      <c r="B686" s="8" t="s">
        <v>32</v>
      </c>
      <c r="C686" s="8" t="s">
        <v>29</v>
      </c>
      <c r="D686" s="8">
        <v>0.930886</v>
      </c>
    </row>
    <row r="687" spans="1:4">
      <c r="A687" s="8" t="s">
        <v>53</v>
      </c>
      <c r="B687" s="8" t="s">
        <v>32</v>
      </c>
      <c r="C687" s="8" t="s">
        <v>30</v>
      </c>
      <c r="D687" s="8">
        <v>0.980589</v>
      </c>
    </row>
    <row r="688" spans="1:4">
      <c r="A688" s="8" t="s">
        <v>53</v>
      </c>
      <c r="B688" s="8" t="s">
        <v>33</v>
      </c>
      <c r="C688" s="8" t="s">
        <v>27</v>
      </c>
      <c r="D688" s="8">
        <v>0.967593</v>
      </c>
    </row>
    <row r="689" spans="1:4">
      <c r="A689" s="8" t="s">
        <v>53</v>
      </c>
      <c r="B689" s="8" t="s">
        <v>33</v>
      </c>
      <c r="C689" s="8" t="s">
        <v>28</v>
      </c>
      <c r="D689" s="8">
        <v>0.969049</v>
      </c>
    </row>
    <row r="690" spans="1:4">
      <c r="A690" s="8" t="s">
        <v>53</v>
      </c>
      <c r="B690" s="8" t="s">
        <v>33</v>
      </c>
      <c r="C690" s="8" t="s">
        <v>29</v>
      </c>
      <c r="D690" s="8">
        <v>0.919121</v>
      </c>
    </row>
    <row r="691" spans="1:4">
      <c r="A691" s="8" t="s">
        <v>53</v>
      </c>
      <c r="B691" s="8" t="s">
        <v>33</v>
      </c>
      <c r="C691" s="8" t="s">
        <v>30</v>
      </c>
      <c r="D691" s="8">
        <v>0.959536</v>
      </c>
    </row>
    <row r="692" spans="1:4">
      <c r="A692" s="8" t="s">
        <v>53</v>
      </c>
      <c r="B692" s="8" t="s">
        <v>27</v>
      </c>
      <c r="C692" s="8" t="s">
        <v>28</v>
      </c>
      <c r="D692" s="8">
        <v>0.970804</v>
      </c>
    </row>
    <row r="693" spans="1:4">
      <c r="A693" s="8" t="s">
        <v>53</v>
      </c>
      <c r="B693" s="8" t="s">
        <v>27</v>
      </c>
      <c r="C693" s="8" t="s">
        <v>29</v>
      </c>
      <c r="D693" s="8">
        <v>0.924299</v>
      </c>
    </row>
    <row r="694" spans="1:4">
      <c r="A694" s="8" t="s">
        <v>53</v>
      </c>
      <c r="B694" s="8" t="s">
        <v>27</v>
      </c>
      <c r="C694" s="8" t="s">
        <v>30</v>
      </c>
      <c r="D694" s="8">
        <v>0.975831</v>
      </c>
    </row>
    <row r="695" spans="1:4">
      <c r="A695" s="8" t="s">
        <v>53</v>
      </c>
      <c r="B695" s="8" t="s">
        <v>28</v>
      </c>
      <c r="C695" s="8" t="s">
        <v>29</v>
      </c>
      <c r="D695" s="8">
        <v>0.917189</v>
      </c>
    </row>
    <row r="696" spans="1:4">
      <c r="A696" s="8" t="s">
        <v>53</v>
      </c>
      <c r="B696" s="8" t="s">
        <v>28</v>
      </c>
      <c r="C696" s="8" t="s">
        <v>30</v>
      </c>
      <c r="D696" s="8">
        <v>0.971766</v>
      </c>
    </row>
    <row r="697" spans="1:4">
      <c r="A697" s="8" t="s">
        <v>53</v>
      </c>
      <c r="B697" s="8" t="s">
        <v>29</v>
      </c>
      <c r="C697" s="8" t="s">
        <v>30</v>
      </c>
      <c r="D697" s="8">
        <v>0.942077</v>
      </c>
    </row>
    <row r="698" spans="1:4">
      <c r="A698" s="8" t="s">
        <v>54</v>
      </c>
      <c r="B698" s="8" t="s">
        <v>26</v>
      </c>
      <c r="C698" s="8" t="s">
        <v>24</v>
      </c>
      <c r="D698" s="8">
        <v>0.913084</v>
      </c>
    </row>
    <row r="699" spans="1:4">
      <c r="A699" s="8" t="s">
        <v>54</v>
      </c>
      <c r="B699" s="8" t="s">
        <v>26</v>
      </c>
      <c r="C699" s="8" t="s">
        <v>25</v>
      </c>
      <c r="D699" s="8">
        <v>0.965511</v>
      </c>
    </row>
    <row r="700" spans="1:4">
      <c r="A700" s="8" t="s">
        <v>54</v>
      </c>
      <c r="B700" s="8" t="s">
        <v>26</v>
      </c>
      <c r="C700" s="8" t="s">
        <v>34</v>
      </c>
      <c r="D700" s="8">
        <v>0.931408</v>
      </c>
    </row>
    <row r="701" spans="1:4">
      <c r="A701" s="8" t="s">
        <v>54</v>
      </c>
      <c r="B701" s="8" t="s">
        <v>26</v>
      </c>
      <c r="C701" s="8" t="s">
        <v>31</v>
      </c>
      <c r="D701" s="8">
        <v>0.959307</v>
      </c>
    </row>
    <row r="702" spans="1:4">
      <c r="A702" s="8" t="s">
        <v>54</v>
      </c>
      <c r="B702" s="8" t="s">
        <v>26</v>
      </c>
      <c r="C702" s="8" t="s">
        <v>32</v>
      </c>
      <c r="D702" s="8">
        <v>0.973445</v>
      </c>
    </row>
    <row r="703" spans="1:4">
      <c r="A703" s="8" t="s">
        <v>54</v>
      </c>
      <c r="B703" s="8" t="s">
        <v>26</v>
      </c>
      <c r="C703" s="8" t="s">
        <v>33</v>
      </c>
      <c r="D703" s="8">
        <v>0.972345</v>
      </c>
    </row>
    <row r="704" spans="1:4">
      <c r="A704" s="8" t="s">
        <v>54</v>
      </c>
      <c r="B704" s="8" t="s">
        <v>26</v>
      </c>
      <c r="C704" s="8" t="s">
        <v>27</v>
      </c>
      <c r="D704" s="8">
        <v>0.970779</v>
      </c>
    </row>
    <row r="705" spans="1:4">
      <c r="A705" s="8" t="s">
        <v>54</v>
      </c>
      <c r="B705" s="8" t="s">
        <v>26</v>
      </c>
      <c r="C705" s="8" t="s">
        <v>28</v>
      </c>
      <c r="D705" s="8">
        <v>0.968816</v>
      </c>
    </row>
    <row r="706" spans="1:4">
      <c r="A706" s="8" t="s">
        <v>54</v>
      </c>
      <c r="B706" s="8" t="s">
        <v>26</v>
      </c>
      <c r="C706" s="8" t="s">
        <v>29</v>
      </c>
      <c r="D706" s="8">
        <v>0.952788</v>
      </c>
    </row>
    <row r="707" spans="1:4">
      <c r="A707" s="8" t="s">
        <v>54</v>
      </c>
      <c r="B707" s="8" t="s">
        <v>26</v>
      </c>
      <c r="C707" s="8" t="s">
        <v>30</v>
      </c>
      <c r="D707" s="8">
        <v>0.937176</v>
      </c>
    </row>
    <row r="708" spans="1:4">
      <c r="A708" s="8" t="s">
        <v>54</v>
      </c>
      <c r="B708" s="8" t="s">
        <v>24</v>
      </c>
      <c r="C708" s="8" t="s">
        <v>25</v>
      </c>
      <c r="D708" s="8">
        <v>0.906083</v>
      </c>
    </row>
    <row r="709" spans="1:4">
      <c r="A709" s="8" t="s">
        <v>54</v>
      </c>
      <c r="B709" s="8" t="s">
        <v>24</v>
      </c>
      <c r="C709" s="8" t="s">
        <v>34</v>
      </c>
      <c r="D709" s="8">
        <v>0.879535</v>
      </c>
    </row>
    <row r="710" spans="1:4">
      <c r="A710" s="8" t="s">
        <v>54</v>
      </c>
      <c r="B710" s="8" t="s">
        <v>24</v>
      </c>
      <c r="C710" s="8" t="s">
        <v>31</v>
      </c>
      <c r="D710" s="8">
        <v>0.899925</v>
      </c>
    </row>
    <row r="711" spans="1:4">
      <c r="A711" s="8" t="s">
        <v>54</v>
      </c>
      <c r="B711" s="8" t="s">
        <v>24</v>
      </c>
      <c r="C711" s="8" t="s">
        <v>32</v>
      </c>
      <c r="D711" s="8">
        <v>0.920775</v>
      </c>
    </row>
    <row r="712" spans="1:4">
      <c r="A712" s="8" t="s">
        <v>54</v>
      </c>
      <c r="B712" s="8" t="s">
        <v>24</v>
      </c>
      <c r="C712" s="8" t="s">
        <v>33</v>
      </c>
      <c r="D712" s="8">
        <v>0.916466</v>
      </c>
    </row>
    <row r="713" spans="1:4">
      <c r="A713" s="8" t="s">
        <v>54</v>
      </c>
      <c r="B713" s="8" t="s">
        <v>24</v>
      </c>
      <c r="C713" s="8" t="s">
        <v>27</v>
      </c>
      <c r="D713" s="8">
        <v>0.908947</v>
      </c>
    </row>
    <row r="714" spans="1:4">
      <c r="A714" s="8" t="s">
        <v>54</v>
      </c>
      <c r="B714" s="8" t="s">
        <v>24</v>
      </c>
      <c r="C714" s="8" t="s">
        <v>28</v>
      </c>
      <c r="D714" s="8">
        <v>0.896321</v>
      </c>
    </row>
    <row r="715" spans="1:4">
      <c r="A715" s="8" t="s">
        <v>54</v>
      </c>
      <c r="B715" s="8" t="s">
        <v>24</v>
      </c>
      <c r="C715" s="8" t="s">
        <v>29</v>
      </c>
      <c r="D715" s="8">
        <v>0.922028</v>
      </c>
    </row>
    <row r="716" spans="1:4">
      <c r="A716" s="8" t="s">
        <v>54</v>
      </c>
      <c r="B716" s="8" t="s">
        <v>24</v>
      </c>
      <c r="C716" s="8" t="s">
        <v>30</v>
      </c>
      <c r="D716" s="8">
        <v>0.887296</v>
      </c>
    </row>
    <row r="717" spans="1:4">
      <c r="A717" s="8" t="s">
        <v>54</v>
      </c>
      <c r="B717" s="8" t="s">
        <v>25</v>
      </c>
      <c r="C717" s="8" t="s">
        <v>34</v>
      </c>
      <c r="D717" s="8">
        <v>0.934101</v>
      </c>
    </row>
    <row r="718" spans="1:4">
      <c r="A718" s="8" t="s">
        <v>54</v>
      </c>
      <c r="B718" s="8" t="s">
        <v>25</v>
      </c>
      <c r="C718" s="8" t="s">
        <v>31</v>
      </c>
      <c r="D718" s="8">
        <v>0.941134</v>
      </c>
    </row>
    <row r="719" spans="1:4">
      <c r="A719" s="8" t="s">
        <v>54</v>
      </c>
      <c r="B719" s="8" t="s">
        <v>25</v>
      </c>
      <c r="C719" s="8" t="s">
        <v>32</v>
      </c>
      <c r="D719" s="8">
        <v>0.966578</v>
      </c>
    </row>
    <row r="720" spans="1:4">
      <c r="A720" s="8" t="s">
        <v>54</v>
      </c>
      <c r="B720" s="8" t="s">
        <v>25</v>
      </c>
      <c r="C720" s="8" t="s">
        <v>33</v>
      </c>
      <c r="D720" s="8">
        <v>0.969842</v>
      </c>
    </row>
    <row r="721" spans="1:4">
      <c r="A721" s="8" t="s">
        <v>54</v>
      </c>
      <c r="B721" s="8" t="s">
        <v>25</v>
      </c>
      <c r="C721" s="8" t="s">
        <v>27</v>
      </c>
      <c r="D721" s="8">
        <v>0.971585</v>
      </c>
    </row>
    <row r="722" spans="1:4">
      <c r="A722" s="8" t="s">
        <v>54</v>
      </c>
      <c r="B722" s="8" t="s">
        <v>25</v>
      </c>
      <c r="C722" s="8" t="s">
        <v>28</v>
      </c>
      <c r="D722" s="8">
        <v>0.958974</v>
      </c>
    </row>
    <row r="723" spans="1:4">
      <c r="A723" s="8" t="s">
        <v>54</v>
      </c>
      <c r="B723" s="8" t="s">
        <v>25</v>
      </c>
      <c r="C723" s="8" t="s">
        <v>29</v>
      </c>
      <c r="D723" s="8">
        <v>0.95373</v>
      </c>
    </row>
    <row r="724" spans="1:4">
      <c r="A724" s="8" t="s">
        <v>54</v>
      </c>
      <c r="B724" s="8" t="s">
        <v>25</v>
      </c>
      <c r="C724" s="8" t="s">
        <v>30</v>
      </c>
      <c r="D724" s="8">
        <v>0.948532</v>
      </c>
    </row>
    <row r="725" spans="1:4">
      <c r="A725" s="8" t="s">
        <v>54</v>
      </c>
      <c r="B725" s="8" t="s">
        <v>34</v>
      </c>
      <c r="C725" s="8" t="s">
        <v>31</v>
      </c>
      <c r="D725" s="8">
        <v>0.925885</v>
      </c>
    </row>
    <row r="726" spans="1:4">
      <c r="A726" s="8" t="s">
        <v>54</v>
      </c>
      <c r="B726" s="8" t="s">
        <v>34</v>
      </c>
      <c r="C726" s="8" t="s">
        <v>32</v>
      </c>
      <c r="D726" s="8">
        <v>0.942375</v>
      </c>
    </row>
    <row r="727" spans="1:4">
      <c r="A727" s="8" t="s">
        <v>54</v>
      </c>
      <c r="B727" s="8" t="s">
        <v>34</v>
      </c>
      <c r="C727" s="8" t="s">
        <v>33</v>
      </c>
      <c r="D727" s="8">
        <v>0.931934</v>
      </c>
    </row>
    <row r="728" spans="1:4">
      <c r="A728" s="8" t="s">
        <v>54</v>
      </c>
      <c r="B728" s="8" t="s">
        <v>34</v>
      </c>
      <c r="C728" s="8" t="s">
        <v>27</v>
      </c>
      <c r="D728" s="8">
        <v>0.940709</v>
      </c>
    </row>
    <row r="729" spans="1:4">
      <c r="A729" s="8" t="s">
        <v>54</v>
      </c>
      <c r="B729" s="8" t="s">
        <v>34</v>
      </c>
      <c r="C729" s="8" t="s">
        <v>28</v>
      </c>
      <c r="D729" s="8">
        <v>0.93762</v>
      </c>
    </row>
    <row r="730" spans="1:4">
      <c r="A730" s="8" t="s">
        <v>54</v>
      </c>
      <c r="B730" s="8" t="s">
        <v>34</v>
      </c>
      <c r="C730" s="8" t="s">
        <v>29</v>
      </c>
      <c r="D730" s="8">
        <v>0.919464</v>
      </c>
    </row>
    <row r="731" spans="1:4">
      <c r="A731" s="8" t="s">
        <v>54</v>
      </c>
      <c r="B731" s="8" t="s">
        <v>34</v>
      </c>
      <c r="C731" s="8" t="s">
        <v>30</v>
      </c>
      <c r="D731" s="8">
        <v>0.945272</v>
      </c>
    </row>
    <row r="732" spans="1:4">
      <c r="A732" s="8" t="s">
        <v>54</v>
      </c>
      <c r="B732" s="8" t="s">
        <v>31</v>
      </c>
      <c r="C732" s="8" t="s">
        <v>32</v>
      </c>
      <c r="D732" s="8">
        <v>0.952842</v>
      </c>
    </row>
    <row r="733" spans="1:4">
      <c r="A733" s="8" t="s">
        <v>54</v>
      </c>
      <c r="B733" s="8" t="s">
        <v>31</v>
      </c>
      <c r="C733" s="8" t="s">
        <v>33</v>
      </c>
      <c r="D733" s="8">
        <v>0.944221</v>
      </c>
    </row>
    <row r="734" spans="1:4">
      <c r="A734" s="8" t="s">
        <v>54</v>
      </c>
      <c r="B734" s="8" t="s">
        <v>31</v>
      </c>
      <c r="C734" s="8" t="s">
        <v>27</v>
      </c>
      <c r="D734" s="8">
        <v>0.942969</v>
      </c>
    </row>
    <row r="735" spans="1:4">
      <c r="A735" s="8" t="s">
        <v>54</v>
      </c>
      <c r="B735" s="8" t="s">
        <v>31</v>
      </c>
      <c r="C735" s="8" t="s">
        <v>28</v>
      </c>
      <c r="D735" s="8">
        <v>0.968794</v>
      </c>
    </row>
    <row r="736" spans="1:4">
      <c r="A736" s="8" t="s">
        <v>54</v>
      </c>
      <c r="B736" s="8" t="s">
        <v>31</v>
      </c>
      <c r="C736" s="8" t="s">
        <v>29</v>
      </c>
      <c r="D736" s="8">
        <v>0.947404</v>
      </c>
    </row>
    <row r="737" spans="1:4">
      <c r="A737" s="8" t="s">
        <v>54</v>
      </c>
      <c r="B737" s="8" t="s">
        <v>31</v>
      </c>
      <c r="C737" s="8" t="s">
        <v>30</v>
      </c>
      <c r="D737" s="8">
        <v>0.943004</v>
      </c>
    </row>
    <row r="738" spans="1:4">
      <c r="A738" s="8" t="s">
        <v>54</v>
      </c>
      <c r="B738" s="8" t="s">
        <v>32</v>
      </c>
      <c r="C738" s="8" t="s">
        <v>33</v>
      </c>
      <c r="D738" s="8">
        <v>0.970686</v>
      </c>
    </row>
    <row r="739" spans="1:4">
      <c r="A739" s="8" t="s">
        <v>54</v>
      </c>
      <c r="B739" s="8" t="s">
        <v>32</v>
      </c>
      <c r="C739" s="8" t="s">
        <v>27</v>
      </c>
      <c r="D739" s="8">
        <v>0.974052</v>
      </c>
    </row>
    <row r="740" spans="1:4">
      <c r="A740" s="8" t="s">
        <v>54</v>
      </c>
      <c r="B740" s="8" t="s">
        <v>32</v>
      </c>
      <c r="C740" s="8" t="s">
        <v>28</v>
      </c>
      <c r="D740" s="8">
        <v>0.956659</v>
      </c>
    </row>
    <row r="741" spans="1:4">
      <c r="A741" s="8" t="s">
        <v>54</v>
      </c>
      <c r="B741" s="8" t="s">
        <v>32</v>
      </c>
      <c r="C741" s="8" t="s">
        <v>29</v>
      </c>
      <c r="D741" s="8">
        <v>0.960584</v>
      </c>
    </row>
    <row r="742" spans="1:4">
      <c r="A742" s="8" t="s">
        <v>54</v>
      </c>
      <c r="B742" s="8" t="s">
        <v>32</v>
      </c>
      <c r="C742" s="8" t="s">
        <v>30</v>
      </c>
      <c r="D742" s="8">
        <v>0.942561</v>
      </c>
    </row>
    <row r="743" spans="1:4">
      <c r="A743" s="8" t="s">
        <v>54</v>
      </c>
      <c r="B743" s="8" t="s">
        <v>33</v>
      </c>
      <c r="C743" s="8" t="s">
        <v>27</v>
      </c>
      <c r="D743" s="8">
        <v>0.983368</v>
      </c>
    </row>
    <row r="744" spans="1:4">
      <c r="A744" s="8" t="s">
        <v>54</v>
      </c>
      <c r="B744" s="8" t="s">
        <v>33</v>
      </c>
      <c r="C744" s="8" t="s">
        <v>28</v>
      </c>
      <c r="D744" s="8">
        <v>0.959541</v>
      </c>
    </row>
    <row r="745" spans="1:4">
      <c r="A745" s="8" t="s">
        <v>54</v>
      </c>
      <c r="B745" s="8" t="s">
        <v>33</v>
      </c>
      <c r="C745" s="8" t="s">
        <v>29</v>
      </c>
      <c r="D745" s="8">
        <v>0.95993</v>
      </c>
    </row>
    <row r="746" spans="1:4">
      <c r="A746" s="8" t="s">
        <v>54</v>
      </c>
      <c r="B746" s="8" t="s">
        <v>33</v>
      </c>
      <c r="C746" s="8" t="s">
        <v>30</v>
      </c>
      <c r="D746" s="8">
        <v>0.942064</v>
      </c>
    </row>
    <row r="747" spans="1:4">
      <c r="A747" s="8" t="s">
        <v>54</v>
      </c>
      <c r="B747" s="8" t="s">
        <v>27</v>
      </c>
      <c r="C747" s="8" t="s">
        <v>28</v>
      </c>
      <c r="D747" s="8">
        <v>0.961987</v>
      </c>
    </row>
    <row r="748" spans="1:4">
      <c r="A748" s="8" t="s">
        <v>54</v>
      </c>
      <c r="B748" s="8" t="s">
        <v>27</v>
      </c>
      <c r="C748" s="8" t="s">
        <v>29</v>
      </c>
      <c r="D748" s="8">
        <v>0.96097</v>
      </c>
    </row>
    <row r="749" spans="1:4">
      <c r="A749" s="8" t="s">
        <v>54</v>
      </c>
      <c r="B749" s="8" t="s">
        <v>27</v>
      </c>
      <c r="C749" s="8" t="s">
        <v>30</v>
      </c>
      <c r="D749" s="8">
        <v>0.939878</v>
      </c>
    </row>
    <row r="750" spans="1:4">
      <c r="A750" s="8" t="s">
        <v>54</v>
      </c>
      <c r="B750" s="8" t="s">
        <v>28</v>
      </c>
      <c r="C750" s="8" t="s">
        <v>29</v>
      </c>
      <c r="D750" s="8">
        <v>0.935802</v>
      </c>
    </row>
    <row r="751" spans="1:4">
      <c r="A751" s="8" t="s">
        <v>54</v>
      </c>
      <c r="B751" s="8" t="s">
        <v>28</v>
      </c>
      <c r="C751" s="8" t="s">
        <v>30</v>
      </c>
      <c r="D751" s="8">
        <v>0.961898</v>
      </c>
    </row>
    <row r="752" spans="1:4">
      <c r="A752" s="8" t="s">
        <v>54</v>
      </c>
      <c r="B752" s="8" t="s">
        <v>29</v>
      </c>
      <c r="C752" s="8" t="s">
        <v>30</v>
      </c>
      <c r="D752" s="8">
        <v>0.923149</v>
      </c>
    </row>
  </sheetData>
  <mergeCells count="5">
    <mergeCell ref="A1:L1"/>
    <mergeCell ref="A3:L3"/>
    <mergeCell ref="A5:L5"/>
    <mergeCell ref="A20:F20"/>
    <mergeCell ref="A36:D36"/>
  </mergeCells>
  <pageMargins left="0.75" right="0.75" top="1" bottom="1" header="0.5" footer="0.5"/>
  <headerFooter/>
  <ignoredErrors>
    <ignoredError sqref="L18 B18" formulaRange="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
  <sheetViews>
    <sheetView zoomScale="130" zoomScaleNormal="130" workbookViewId="0">
      <selection activeCell="B18" sqref="B18"/>
    </sheetView>
  </sheetViews>
  <sheetFormatPr defaultColWidth="9.16346153846154" defaultRowHeight="16.8"/>
  <cols>
    <col min="1" max="1" width="14.8365384615385" style="1" customWidth="1"/>
    <col min="2" max="2" width="15.6634615384615" style="1" customWidth="1"/>
    <col min="3" max="4" width="13" style="1"/>
    <col min="5" max="5" width="9.16346153846154" style="1"/>
    <col min="6" max="6" width="13" style="1"/>
    <col min="7" max="7" width="9.16346153846154" style="1"/>
    <col min="8" max="8" width="14" style="1"/>
    <col min="9" max="12" width="13" style="1"/>
    <col min="13" max="16384" width="9.16346153846154" style="1"/>
  </cols>
  <sheetData>
    <row r="1" ht="17.6" spans="1:12">
      <c r="A1" s="10" t="s">
        <v>59</v>
      </c>
      <c r="B1" s="10"/>
      <c r="C1" s="10"/>
      <c r="D1" s="10"/>
      <c r="E1" s="10"/>
      <c r="F1" s="10"/>
      <c r="G1" s="10"/>
      <c r="H1" s="10"/>
      <c r="I1" s="10"/>
      <c r="J1" s="10"/>
      <c r="K1" s="10"/>
      <c r="L1" s="10"/>
    </row>
    <row r="2" spans="1:12">
      <c r="A2" s="3" t="s">
        <v>1</v>
      </c>
      <c r="B2" s="3" t="s">
        <v>2</v>
      </c>
      <c r="C2" s="3" t="s">
        <v>4</v>
      </c>
      <c r="D2" s="3"/>
      <c r="E2" s="3" t="s">
        <v>5</v>
      </c>
      <c r="F2" s="3"/>
      <c r="G2" s="3" t="s">
        <v>6</v>
      </c>
      <c r="H2" s="3"/>
      <c r="I2" s="3" t="s">
        <v>7</v>
      </c>
      <c r="J2" s="3"/>
      <c r="K2" s="3" t="s">
        <v>8</v>
      </c>
      <c r="L2" s="3"/>
    </row>
    <row r="3" spans="1:12">
      <c r="A3" s="3"/>
      <c r="B3" s="3"/>
      <c r="C3" s="1" t="s">
        <v>9</v>
      </c>
      <c r="D3" s="1" t="s">
        <v>10</v>
      </c>
      <c r="E3" s="1" t="s">
        <v>9</v>
      </c>
      <c r="F3" s="1" t="s">
        <v>10</v>
      </c>
      <c r="G3" s="1" t="s">
        <v>9</v>
      </c>
      <c r="H3" s="1" t="s">
        <v>10</v>
      </c>
      <c r="I3" s="1" t="s">
        <v>9</v>
      </c>
      <c r="J3" s="1" t="s">
        <v>10</v>
      </c>
      <c r="K3" s="1" t="s">
        <v>9</v>
      </c>
      <c r="L3" s="1" t="s">
        <v>10</v>
      </c>
    </row>
    <row r="4" spans="1:12">
      <c r="A4" s="3" t="s">
        <v>11</v>
      </c>
      <c r="B4" s="1" t="s">
        <v>12</v>
      </c>
      <c r="C4" s="5">
        <v>0.6772</v>
      </c>
      <c r="D4" s="5">
        <v>0.0989</v>
      </c>
      <c r="E4" s="5">
        <v>0.1862</v>
      </c>
      <c r="F4" s="5">
        <v>0.018</v>
      </c>
      <c r="G4" s="5">
        <v>0.9095</v>
      </c>
      <c r="H4" s="5">
        <v>0.015</v>
      </c>
      <c r="I4" s="5">
        <v>0.3094</v>
      </c>
      <c r="J4" s="5">
        <v>0.015</v>
      </c>
      <c r="K4" s="5">
        <v>0.4843</v>
      </c>
      <c r="L4" s="5">
        <v>0.0319</v>
      </c>
    </row>
    <row r="5" spans="1:12">
      <c r="A5" s="3"/>
      <c r="B5" s="1" t="s">
        <v>60</v>
      </c>
      <c r="C5" s="4">
        <v>1.59728878373028</v>
      </c>
      <c r="D5" s="4">
        <v>0.479554462326465</v>
      </c>
      <c r="E5" s="4">
        <v>0.721953687127131</v>
      </c>
      <c r="F5" s="4">
        <v>0.655075807623305</v>
      </c>
      <c r="G5" s="4">
        <v>1.80130289360247</v>
      </c>
      <c r="H5" s="4">
        <v>0.656338836391587</v>
      </c>
      <c r="I5" s="4">
        <v>0.962100933847607</v>
      </c>
      <c r="J5" s="4">
        <v>0.44165085978175</v>
      </c>
      <c r="K5" s="4">
        <v>1.19821061437833</v>
      </c>
      <c r="L5" s="4">
        <v>0.610180996656519</v>
      </c>
    </row>
    <row r="6" spans="1:12">
      <c r="A6" s="3" t="s">
        <v>61</v>
      </c>
      <c r="B6" s="1" t="s">
        <v>12</v>
      </c>
      <c r="C6" s="5">
        <v>0.5193</v>
      </c>
      <c r="D6" s="5">
        <v>0.1264</v>
      </c>
      <c r="E6" s="5">
        <v>0.3247</v>
      </c>
      <c r="F6" s="5">
        <v>0.254</v>
      </c>
      <c r="G6" s="5">
        <v>1.1101</v>
      </c>
      <c r="H6" s="5">
        <v>0.2112</v>
      </c>
      <c r="I6" s="5">
        <v>0.4835</v>
      </c>
      <c r="J6" s="5">
        <v>0.154</v>
      </c>
      <c r="K6" s="5">
        <v>0.5814</v>
      </c>
      <c r="L6" s="5">
        <v>0.2123</v>
      </c>
    </row>
    <row r="7" spans="1:12">
      <c r="A7" s="3"/>
      <c r="B7" s="1" t="s">
        <v>60</v>
      </c>
      <c r="C7" s="4">
        <v>0.918598016549759</v>
      </c>
      <c r="D7" s="4">
        <v>0.603127819490226</v>
      </c>
      <c r="E7" s="4">
        <v>0.66553039207801</v>
      </c>
      <c r="F7" s="4">
        <v>0.620659534047814</v>
      </c>
      <c r="G7" s="4">
        <v>2.77854844335178</v>
      </c>
      <c r="H7" s="4">
        <v>0.619429232425204</v>
      </c>
      <c r="I7" s="4">
        <v>1.07151535040448</v>
      </c>
      <c r="J7" s="4">
        <v>0.587780833802218</v>
      </c>
      <c r="K7" s="4">
        <v>1.30052877002506</v>
      </c>
      <c r="L7" s="4">
        <v>0.615338273362505</v>
      </c>
    </row>
    <row r="8" spans="1:12">
      <c r="A8" s="3" t="s">
        <v>62</v>
      </c>
      <c r="B8" s="1" t="s">
        <v>12</v>
      </c>
      <c r="C8" s="5">
        <v>0.3776</v>
      </c>
      <c r="D8" s="5">
        <v>0.0157</v>
      </c>
      <c r="E8" s="5">
        <v>0.2305</v>
      </c>
      <c r="F8" s="5">
        <v>0.0254</v>
      </c>
      <c r="G8" s="5">
        <v>0.7494</v>
      </c>
      <c r="H8" s="5">
        <v>0.0386</v>
      </c>
      <c r="I8" s="5">
        <v>0.2911</v>
      </c>
      <c r="J8" s="5">
        <v>0.0601</v>
      </c>
      <c r="K8" s="5">
        <v>0.4017</v>
      </c>
      <c r="L8" s="5">
        <v>0.004</v>
      </c>
    </row>
    <row r="9" spans="1:12">
      <c r="A9" s="3"/>
      <c r="B9" s="1" t="s">
        <v>60</v>
      </c>
      <c r="C9" s="4">
        <v>1.03435355668041</v>
      </c>
      <c r="D9" s="4">
        <v>0.570936975389592</v>
      </c>
      <c r="E9" s="4">
        <v>0.609530070784164</v>
      </c>
      <c r="F9" s="4">
        <v>0.485040968177486</v>
      </c>
      <c r="G9" s="4">
        <v>1.75050848356782</v>
      </c>
      <c r="H9" s="4">
        <v>0.5275753117583</v>
      </c>
      <c r="I9" s="4">
        <v>1.16921781967611</v>
      </c>
      <c r="J9" s="4">
        <v>0.660863609117007</v>
      </c>
      <c r="K9" s="4">
        <v>1.02633078681277</v>
      </c>
      <c r="L9" s="4">
        <v>0.521977142163812</v>
      </c>
    </row>
    <row r="10" spans="1:12">
      <c r="A10" s="3" t="s">
        <v>63</v>
      </c>
      <c r="B10" s="1" t="s">
        <v>12</v>
      </c>
      <c r="C10" s="5">
        <v>0.4795</v>
      </c>
      <c r="D10" s="5">
        <v>0.0013</v>
      </c>
      <c r="E10" s="5">
        <v>0.2278</v>
      </c>
      <c r="F10" s="5">
        <v>0.088</v>
      </c>
      <c r="G10" s="5">
        <v>1.2505</v>
      </c>
      <c r="H10" s="5">
        <v>0.1244</v>
      </c>
      <c r="I10" s="5">
        <v>0.4134</v>
      </c>
      <c r="J10" s="5">
        <v>0.0252</v>
      </c>
      <c r="K10" s="5">
        <v>0.5607</v>
      </c>
      <c r="L10" s="5">
        <v>0.0774</v>
      </c>
    </row>
    <row r="11" spans="1:12">
      <c r="A11" s="3"/>
      <c r="B11" s="1" t="s">
        <v>60</v>
      </c>
      <c r="C11" s="4">
        <v>0.741289063269971</v>
      </c>
      <c r="D11" s="4">
        <v>0.359207095896082</v>
      </c>
      <c r="E11" s="4">
        <v>0.62932120835137</v>
      </c>
      <c r="F11" s="4">
        <v>0.585009355415229</v>
      </c>
      <c r="G11" s="4">
        <v>1.74214194494884</v>
      </c>
      <c r="H11" s="4">
        <v>0.48078807811065</v>
      </c>
      <c r="I11" s="4">
        <v>0.757482034555678</v>
      </c>
      <c r="J11" s="4">
        <v>0.332334453163153</v>
      </c>
      <c r="K11" s="4">
        <v>0.955464189729061</v>
      </c>
      <c r="L11" s="4">
        <v>0.499943908357305</v>
      </c>
    </row>
    <row r="13" ht="206" customHeight="1" spans="1:12">
      <c r="A13" s="6" t="s">
        <v>64</v>
      </c>
      <c r="B13" s="6"/>
      <c r="C13" s="6"/>
      <c r="D13" s="6"/>
      <c r="E13" s="6"/>
      <c r="F13" s="6"/>
      <c r="G13" s="6"/>
      <c r="H13" s="6"/>
      <c r="I13" s="6"/>
      <c r="J13" s="6"/>
      <c r="K13" s="6"/>
      <c r="L13" s="6"/>
    </row>
    <row r="14" spans="1:12">
      <c r="D14" s="4"/>
      <c r="E14" s="4"/>
      <c r="F14" s="4"/>
      <c r="G14" s="4"/>
      <c r="H14" s="4"/>
    </row>
    <row r="19" spans="4:8">
      <c r="D19" s="4"/>
      <c r="E19" s="4"/>
      <c r="F19" s="4"/>
      <c r="G19" s="4"/>
      <c r="H19" s="4"/>
    </row>
    <row r="20" spans="4:8">
      <c r="D20" s="4"/>
      <c r="E20" s="4"/>
      <c r="F20" s="4"/>
      <c r="G20" s="4"/>
      <c r="H20" s="4"/>
    </row>
    <row r="21" spans="4:8">
      <c r="D21" s="4"/>
      <c r="E21" s="4"/>
      <c r="F21" s="4"/>
      <c r="G21" s="4"/>
      <c r="H21" s="4"/>
    </row>
    <row r="22" spans="4:8">
      <c r="D22" s="4"/>
      <c r="E22" s="4"/>
      <c r="F22" s="4"/>
      <c r="G22" s="4"/>
      <c r="H22" s="4"/>
    </row>
    <row r="23" spans="4:8">
      <c r="D23" s="4"/>
      <c r="E23" s="4"/>
      <c r="F23" s="4"/>
      <c r="G23" s="4"/>
      <c r="H23" s="4"/>
    </row>
    <row r="24" spans="4:8">
      <c r="D24" s="4"/>
      <c r="E24" s="4"/>
      <c r="F24" s="4"/>
      <c r="G24" s="4"/>
      <c r="H24" s="4"/>
    </row>
    <row r="25" spans="4:8">
      <c r="D25" s="4"/>
      <c r="E25" s="4"/>
      <c r="F25" s="4"/>
      <c r="G25" s="4"/>
      <c r="H25" s="4"/>
    </row>
    <row r="26" spans="4:8">
      <c r="D26" s="4"/>
      <c r="E26" s="4"/>
      <c r="F26" s="4"/>
      <c r="G26" s="4"/>
      <c r="H26" s="4"/>
    </row>
    <row r="27" spans="4:8">
      <c r="D27" s="4"/>
      <c r="E27" s="4"/>
      <c r="F27" s="4"/>
      <c r="G27" s="4"/>
      <c r="H27" s="4"/>
    </row>
    <row r="28" spans="4:8">
      <c r="D28" s="4"/>
      <c r="E28" s="4"/>
      <c r="F28" s="4"/>
      <c r="G28" s="4"/>
      <c r="H28" s="4"/>
    </row>
    <row r="29" spans="4:8">
      <c r="D29" s="4"/>
      <c r="E29" s="4"/>
      <c r="F29" s="4"/>
      <c r="G29" s="4"/>
      <c r="H29" s="4"/>
    </row>
    <row r="30" spans="4:8">
      <c r="D30" s="4"/>
      <c r="E30" s="4"/>
      <c r="F30" s="4"/>
      <c r="G30" s="4"/>
      <c r="H30" s="4"/>
    </row>
    <row r="31" spans="4:8">
      <c r="D31" s="4"/>
      <c r="E31" s="4"/>
      <c r="F31" s="4"/>
      <c r="G31" s="4"/>
      <c r="H31" s="4"/>
    </row>
  </sheetData>
  <mergeCells count="13">
    <mergeCell ref="A1:L1"/>
    <mergeCell ref="C2:D2"/>
    <mergeCell ref="E2:F2"/>
    <mergeCell ref="G2:H2"/>
    <mergeCell ref="I2:J2"/>
    <mergeCell ref="K2:L2"/>
    <mergeCell ref="A13:L13"/>
    <mergeCell ref="A2:A3"/>
    <mergeCell ref="A4:A5"/>
    <mergeCell ref="A6:A7"/>
    <mergeCell ref="A8:A9"/>
    <mergeCell ref="A10:A11"/>
    <mergeCell ref="B2:B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
  <sheetViews>
    <sheetView zoomScale="110" zoomScaleNormal="110" workbookViewId="0">
      <selection activeCell="C22" sqref="C22"/>
    </sheetView>
  </sheetViews>
  <sheetFormatPr defaultColWidth="9.16346153846154" defaultRowHeight="16.8"/>
  <cols>
    <col min="1" max="1" width="12.8365384615385" style="1" customWidth="1"/>
    <col min="2" max="2" width="9.16346153846154" style="1"/>
    <col min="3" max="3" width="32" style="1" customWidth="1"/>
    <col min="4" max="4" width="13" style="1"/>
    <col min="5" max="5" width="10.3365384615385" style="1" customWidth="1"/>
    <col min="6" max="10" width="13" style="1"/>
    <col min="11" max="11" width="14" style="1"/>
    <col min="12" max="13" width="13" style="1"/>
    <col min="14" max="16384" width="9.16346153846154" style="1"/>
  </cols>
  <sheetData>
    <row r="1" ht="17.6" spans="1:13">
      <c r="A1" s="2" t="s">
        <v>65</v>
      </c>
      <c r="B1" s="2"/>
      <c r="C1" s="2"/>
      <c r="D1" s="2"/>
      <c r="E1" s="2"/>
      <c r="F1" s="2"/>
      <c r="G1" s="2"/>
      <c r="H1" s="2"/>
      <c r="I1" s="2"/>
      <c r="J1" s="2"/>
      <c r="K1" s="2"/>
      <c r="L1" s="2"/>
      <c r="M1" s="2"/>
    </row>
    <row r="2" spans="1:13">
      <c r="A2" s="3" t="s">
        <v>1</v>
      </c>
      <c r="B2" s="3" t="s">
        <v>2</v>
      </c>
      <c r="C2" s="3" t="s">
        <v>66</v>
      </c>
      <c r="D2" s="3" t="s">
        <v>4</v>
      </c>
      <c r="E2" s="3"/>
      <c r="F2" s="3" t="s">
        <v>5</v>
      </c>
      <c r="G2" s="3"/>
      <c r="H2" s="3" t="s">
        <v>6</v>
      </c>
      <c r="I2" s="3"/>
      <c r="J2" s="3" t="s">
        <v>7</v>
      </c>
      <c r="K2" s="3"/>
      <c r="L2" s="3" t="s">
        <v>8</v>
      </c>
      <c r="M2" s="3"/>
    </row>
    <row r="3" spans="1:13">
      <c r="A3" s="3"/>
      <c r="B3" s="3"/>
      <c r="C3" s="3"/>
      <c r="D3" s="1" t="s">
        <v>9</v>
      </c>
      <c r="E3" s="1" t="s">
        <v>10</v>
      </c>
      <c r="F3" s="1" t="s">
        <v>9</v>
      </c>
      <c r="G3" s="1" t="s">
        <v>10</v>
      </c>
      <c r="H3" s="1" t="s">
        <v>9</v>
      </c>
      <c r="I3" s="1" t="s">
        <v>10</v>
      </c>
      <c r="J3" s="1" t="s">
        <v>9</v>
      </c>
      <c r="K3" s="1" t="s">
        <v>10</v>
      </c>
      <c r="L3" s="1" t="s">
        <v>9</v>
      </c>
      <c r="M3" s="1" t="s">
        <v>10</v>
      </c>
    </row>
    <row r="4" spans="1:13">
      <c r="A4" s="3" t="s">
        <v>11</v>
      </c>
      <c r="B4" s="3" t="s">
        <v>12</v>
      </c>
      <c r="C4" s="1" t="s">
        <v>67</v>
      </c>
      <c r="D4" s="4">
        <v>0.6772</v>
      </c>
      <c r="E4" s="4">
        <v>0.0989</v>
      </c>
      <c r="F4" s="4">
        <v>0.1862</v>
      </c>
      <c r="G4" s="4">
        <v>0.018</v>
      </c>
      <c r="H4" s="4">
        <v>0.9095</v>
      </c>
      <c r="I4" s="4">
        <v>0.015</v>
      </c>
      <c r="J4" s="4">
        <v>0.3094</v>
      </c>
      <c r="K4" s="4">
        <v>0.015</v>
      </c>
      <c r="L4" s="4">
        <v>0.4843</v>
      </c>
      <c r="M4" s="4">
        <v>0.0319</v>
      </c>
    </row>
    <row r="5" spans="1:13">
      <c r="A5" s="3"/>
      <c r="B5" s="3"/>
      <c r="C5" s="1" t="s">
        <v>68</v>
      </c>
      <c r="D5" s="4">
        <v>0.756175877714832</v>
      </c>
      <c r="E5" s="4">
        <v>0.0947404684193081</v>
      </c>
      <c r="F5" s="4">
        <v>0.154674256016358</v>
      </c>
      <c r="G5" s="4">
        <v>0.0152019509240345</v>
      </c>
      <c r="H5" s="4">
        <v>0.838522076703082</v>
      </c>
      <c r="I5" s="4">
        <v>0.0166873130019428</v>
      </c>
      <c r="J5" s="4">
        <v>0.486444273441512</v>
      </c>
      <c r="K5" s="4">
        <v>0.0129739756792057</v>
      </c>
      <c r="L5" s="4">
        <v>0.474227838050491</v>
      </c>
      <c r="M5" s="4">
        <v>0.0302491705317818</v>
      </c>
    </row>
    <row r="6" spans="1:13">
      <c r="A6" s="3"/>
      <c r="B6" s="3"/>
      <c r="C6" s="1" t="s">
        <v>69</v>
      </c>
      <c r="D6" s="4">
        <v>0.738213928518849</v>
      </c>
      <c r="E6" s="4">
        <v>0.0901381762815973</v>
      </c>
      <c r="F6" s="4">
        <v>0.176179652118593</v>
      </c>
      <c r="G6" s="4">
        <v>0.00979526632120398</v>
      </c>
      <c r="H6" s="4">
        <v>0.780293503679418</v>
      </c>
      <c r="I6" s="4">
        <v>0.00242998410696882</v>
      </c>
      <c r="J6" s="4">
        <v>0.497129921037466</v>
      </c>
      <c r="K6" s="4">
        <v>0.00879056525909516</v>
      </c>
      <c r="L6" s="4">
        <v>0.46595113024858</v>
      </c>
      <c r="M6" s="4">
        <v>0.0230836296975701</v>
      </c>
    </row>
    <row r="7" spans="1:13">
      <c r="A7" s="3"/>
      <c r="B7" s="3"/>
      <c r="C7" s="1" t="s">
        <v>70</v>
      </c>
      <c r="D7" s="4">
        <v>0.704120709418028</v>
      </c>
      <c r="E7" s="4">
        <v>0.0934087020084091</v>
      </c>
      <c r="F7" s="4">
        <v>0.207434632278401</v>
      </c>
      <c r="G7" s="4">
        <v>0.0117088177367087</v>
      </c>
      <c r="H7" s="4">
        <v>0.604810870614871</v>
      </c>
      <c r="I7" s="4">
        <v>0.0120695747864716</v>
      </c>
      <c r="J7" s="4">
        <v>0.689742270961275</v>
      </c>
      <c r="K7" s="4">
        <v>0.00901046086621149</v>
      </c>
      <c r="L7" s="4">
        <v>0.436249857552322</v>
      </c>
      <c r="M7" s="4">
        <v>0.0272377160321926</v>
      </c>
    </row>
    <row r="8" spans="1:13">
      <c r="A8" s="3"/>
      <c r="B8" s="3"/>
      <c r="C8" s="1" t="s">
        <v>71</v>
      </c>
      <c r="D8" s="4">
        <v>0.713627621398849</v>
      </c>
      <c r="E8" s="4">
        <v>0.0834499751648543</v>
      </c>
      <c r="F8" s="4">
        <v>0.23646894902986</v>
      </c>
      <c r="G8" s="4">
        <v>0.0234718639511724</v>
      </c>
      <c r="H8" s="4">
        <v>0.805054177031827</v>
      </c>
      <c r="I8" s="4">
        <v>0.0191157100274212</v>
      </c>
      <c r="J8" s="4">
        <v>0.673934298868112</v>
      </c>
      <c r="K8" s="4">
        <v>0.0172971889536254</v>
      </c>
      <c r="L8" s="4">
        <v>0.505051181174752</v>
      </c>
      <c r="M8" s="4">
        <v>0.0324286833791678</v>
      </c>
    </row>
    <row r="9" spans="1:13">
      <c r="C9" s="1" t="s">
        <v>18</v>
      </c>
      <c r="D9" s="9">
        <f>AVERAGE(D4:D8)</f>
        <v>0.717867627410112</v>
      </c>
      <c r="E9" s="9">
        <f t="shared" ref="E9:M9" si="0">AVERAGE(E4:E8)</f>
        <v>0.0921274643748337</v>
      </c>
      <c r="F9" s="9">
        <f t="shared" si="0"/>
        <v>0.192191497888642</v>
      </c>
      <c r="G9" s="9">
        <f t="shared" si="0"/>
        <v>0.0156355797866239</v>
      </c>
      <c r="H9" s="9">
        <f t="shared" si="0"/>
        <v>0.78763612560584</v>
      </c>
      <c r="I9" s="9">
        <f t="shared" si="0"/>
        <v>0.0130605163845609</v>
      </c>
      <c r="J9" s="9">
        <f t="shared" si="0"/>
        <v>0.531330152861673</v>
      </c>
      <c r="K9" s="9">
        <f t="shared" si="0"/>
        <v>0.0126144381516275</v>
      </c>
      <c r="L9" s="9">
        <f t="shared" si="0"/>
        <v>0.473156001405229</v>
      </c>
      <c r="M9" s="9">
        <f t="shared" si="0"/>
        <v>0.0289798399281424</v>
      </c>
    </row>
    <row r="10" spans="1:13">
      <c r="C10" s="1" t="s">
        <v>19</v>
      </c>
      <c r="D10" s="9">
        <f>VAR(D4:D8)</f>
        <v>0.000935576333660195</v>
      </c>
      <c r="E10" s="9">
        <f t="shared" ref="E10:M10" si="1">VAR(E4:E8)</f>
        <v>3.33981712278693e-5</v>
      </c>
      <c r="F10" s="9">
        <f t="shared" si="1"/>
        <v>0.000973166628801025</v>
      </c>
      <c r="G10" s="9">
        <f t="shared" si="1"/>
        <v>2.91786470036162e-5</v>
      </c>
      <c r="H10" s="9">
        <f t="shared" si="1"/>
        <v>0.012805640094043</v>
      </c>
      <c r="I10" s="9">
        <f t="shared" si="1"/>
        <v>4.1892700551674e-5</v>
      </c>
      <c r="J10" s="9">
        <f t="shared" si="1"/>
        <v>0.0244669330990961</v>
      </c>
      <c r="K10" s="9">
        <f t="shared" si="1"/>
        <v>1.38397459529494e-5</v>
      </c>
      <c r="L10" s="9">
        <f t="shared" si="1"/>
        <v>0.000639153413369996</v>
      </c>
      <c r="M10" s="9">
        <f t="shared" si="1"/>
        <v>1.49583367320583e-5</v>
      </c>
    </row>
    <row r="12" ht="170" customHeight="1" spans="1:13">
      <c r="A12" s="6" t="s">
        <v>72</v>
      </c>
      <c r="B12" s="7"/>
      <c r="C12" s="7"/>
      <c r="D12" s="7"/>
      <c r="E12" s="7"/>
      <c r="F12" s="7"/>
      <c r="G12" s="7"/>
      <c r="H12" s="7"/>
      <c r="I12" s="7"/>
      <c r="J12" s="7"/>
      <c r="K12" s="7"/>
      <c r="L12" s="7"/>
      <c r="M12" s="7"/>
    </row>
  </sheetData>
  <mergeCells count="12">
    <mergeCell ref="A1:M1"/>
    <mergeCell ref="D2:E2"/>
    <mergeCell ref="F2:G2"/>
    <mergeCell ref="H2:I2"/>
    <mergeCell ref="J2:K2"/>
    <mergeCell ref="L2:M2"/>
    <mergeCell ref="A12:M12"/>
    <mergeCell ref="A2:A3"/>
    <mergeCell ref="A4:A8"/>
    <mergeCell ref="B2:B3"/>
    <mergeCell ref="B4:B8"/>
    <mergeCell ref="C2:C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3"/>
  <sheetViews>
    <sheetView workbookViewId="0">
      <selection activeCell="M18" sqref="M18"/>
    </sheetView>
  </sheetViews>
  <sheetFormatPr defaultColWidth="9.16346153846154" defaultRowHeight="16.8"/>
  <cols>
    <col min="1" max="1" width="13.6634615384615" style="1" customWidth="1"/>
    <col min="2" max="2" width="9.16346153846154" style="1"/>
    <col min="3" max="3" width="36.6634615384615" style="1" customWidth="1"/>
    <col min="4" max="4" width="23.5" style="1" customWidth="1"/>
    <col min="5" max="5" width="13" style="1"/>
    <col min="6" max="6" width="14" style="1"/>
    <col min="7" max="7" width="9.16346153846154" style="1"/>
    <col min="8" max="8" width="13" style="1"/>
    <col min="9" max="9" width="9.16346153846154" style="1"/>
    <col min="10" max="14" width="13" style="1"/>
    <col min="15" max="16384" width="9.16346153846154" style="1"/>
  </cols>
  <sheetData>
    <row r="1" ht="17.6" spans="1:14">
      <c r="A1" s="2" t="s">
        <v>73</v>
      </c>
      <c r="B1" s="2"/>
      <c r="C1" s="2"/>
      <c r="D1" s="2"/>
      <c r="E1" s="2"/>
      <c r="F1" s="2"/>
      <c r="G1" s="2"/>
      <c r="H1" s="2"/>
      <c r="I1" s="2"/>
      <c r="J1" s="2"/>
      <c r="K1" s="2"/>
      <c r="L1" s="2"/>
      <c r="M1" s="2"/>
      <c r="N1" s="2"/>
    </row>
    <row r="2" spans="1:14">
      <c r="A2" s="3" t="s">
        <v>1</v>
      </c>
      <c r="B2" s="3" t="s">
        <v>2</v>
      </c>
      <c r="C2" s="3" t="s">
        <v>74</v>
      </c>
      <c r="D2" s="3" t="s">
        <v>75</v>
      </c>
      <c r="E2" s="3" t="s">
        <v>4</v>
      </c>
      <c r="F2" s="3"/>
      <c r="G2" s="3" t="s">
        <v>5</v>
      </c>
      <c r="H2" s="3"/>
      <c r="I2" s="3" t="s">
        <v>6</v>
      </c>
      <c r="J2" s="3"/>
      <c r="K2" s="3" t="s">
        <v>7</v>
      </c>
      <c r="L2" s="3"/>
      <c r="M2" s="3" t="s">
        <v>8</v>
      </c>
      <c r="N2" s="3"/>
    </row>
    <row r="3" spans="1:14">
      <c r="A3" s="3"/>
      <c r="B3" s="3"/>
      <c r="C3" s="3"/>
      <c r="D3" s="3"/>
      <c r="E3" s="1" t="s">
        <v>9</v>
      </c>
      <c r="F3" s="1" t="s">
        <v>10</v>
      </c>
      <c r="G3" s="1" t="s">
        <v>9</v>
      </c>
      <c r="H3" s="1" t="s">
        <v>10</v>
      </c>
      <c r="I3" s="1" t="s">
        <v>9</v>
      </c>
      <c r="J3" s="1" t="s">
        <v>10</v>
      </c>
      <c r="K3" s="1" t="s">
        <v>9</v>
      </c>
      <c r="L3" s="1" t="s">
        <v>10</v>
      </c>
      <c r="M3" s="1" t="s">
        <v>9</v>
      </c>
      <c r="N3" s="1" t="s">
        <v>10</v>
      </c>
    </row>
    <row r="4" spans="1:14">
      <c r="A4" s="3" t="s">
        <v>11</v>
      </c>
      <c r="B4" s="3" t="s">
        <v>12</v>
      </c>
      <c r="C4" s="1" t="s">
        <v>76</v>
      </c>
      <c r="D4" s="1" t="s">
        <v>77</v>
      </c>
      <c r="E4" s="4">
        <v>0.6772</v>
      </c>
      <c r="F4" s="4">
        <v>0.0989</v>
      </c>
      <c r="G4" s="5">
        <v>0.1862</v>
      </c>
      <c r="H4" s="4">
        <v>0.018</v>
      </c>
      <c r="I4" s="4">
        <v>0.9095</v>
      </c>
      <c r="J4" s="5">
        <v>0.015</v>
      </c>
      <c r="K4" s="5">
        <v>0.3094</v>
      </c>
      <c r="L4" s="4">
        <v>0.015</v>
      </c>
      <c r="M4" s="5">
        <v>0.4843</v>
      </c>
      <c r="N4" s="5">
        <v>0.0319</v>
      </c>
    </row>
    <row r="5" spans="1:14">
      <c r="A5" s="3"/>
      <c r="B5" s="3"/>
      <c r="C5" s="1" t="s">
        <v>78</v>
      </c>
      <c r="D5" s="1" t="s">
        <v>79</v>
      </c>
      <c r="E5" s="4">
        <v>0.925162517364344</v>
      </c>
      <c r="F5" s="4">
        <v>0.14359638619871</v>
      </c>
      <c r="G5" s="4">
        <v>0.559263811890239</v>
      </c>
      <c r="H5" s="5">
        <v>0.010849501277835</v>
      </c>
      <c r="I5" s="4">
        <v>2.03506442781943</v>
      </c>
      <c r="J5" s="4">
        <v>0.114727463970904</v>
      </c>
      <c r="K5" s="4">
        <v>0.968042032903937</v>
      </c>
      <c r="L5" s="4">
        <v>0.349057196725435</v>
      </c>
      <c r="M5" s="4">
        <v>1.04671464071168</v>
      </c>
      <c r="N5" s="4">
        <v>0.0811871326815973</v>
      </c>
    </row>
    <row r="6" spans="1:14">
      <c r="A6" s="3"/>
      <c r="B6" s="3"/>
      <c r="C6" s="1" t="s">
        <v>80</v>
      </c>
      <c r="D6" s="1" t="s">
        <v>81</v>
      </c>
      <c r="E6" s="4">
        <v>1.1977196711219</v>
      </c>
      <c r="F6" s="4">
        <v>0.35036785388912</v>
      </c>
      <c r="G6" s="4">
        <v>0.759582684065508</v>
      </c>
      <c r="H6" s="4">
        <v>0.157063168229319</v>
      </c>
      <c r="I6" s="4">
        <v>2.69918472041337</v>
      </c>
      <c r="J6" s="4">
        <v>0.331010719124825</v>
      </c>
      <c r="K6" s="4">
        <v>1.67704676327008</v>
      </c>
      <c r="L6" s="4">
        <v>0.575095787384159</v>
      </c>
      <c r="M6" s="4">
        <v>1.40929288866004</v>
      </c>
      <c r="N6" s="4">
        <v>0.262058576024086</v>
      </c>
    </row>
    <row r="7" spans="1:14">
      <c r="A7" s="3"/>
      <c r="B7" s="3"/>
      <c r="C7" s="1" t="s">
        <v>82</v>
      </c>
      <c r="D7" s="1" t="s">
        <v>83</v>
      </c>
      <c r="E7" s="5">
        <v>0.61594196973674</v>
      </c>
      <c r="F7" s="4">
        <v>0.00735219896036166</v>
      </c>
      <c r="G7" s="4">
        <v>0.241419616650621</v>
      </c>
      <c r="H7" s="4">
        <v>0.13696100497041</v>
      </c>
      <c r="I7" s="4">
        <v>1.09085985933606</v>
      </c>
      <c r="J7" s="4">
        <v>0.121263905640371</v>
      </c>
      <c r="K7" s="4">
        <v>0.361115329704613</v>
      </c>
      <c r="L7" s="4">
        <v>0.0910486445583072</v>
      </c>
      <c r="M7" s="4">
        <v>0.549647863404193</v>
      </c>
      <c r="N7" s="4">
        <v>0.104575319016347</v>
      </c>
    </row>
    <row r="8" ht="17" spans="1:14">
      <c r="A8" s="3"/>
      <c r="B8" s="3"/>
      <c r="C8" s="1" t="s">
        <v>84</v>
      </c>
      <c r="D8" s="1" t="s">
        <v>85</v>
      </c>
      <c r="E8" s="4">
        <v>0.70558481246086</v>
      </c>
      <c r="F8" s="4">
        <v>0.129432823775998</v>
      </c>
      <c r="G8" s="4">
        <v>0.246895640376207</v>
      </c>
      <c r="H8" s="4">
        <v>0.0923306535794881</v>
      </c>
      <c r="I8" s="5">
        <v>0.775986864565817</v>
      </c>
      <c r="J8" s="4">
        <v>0.0536880121471578</v>
      </c>
      <c r="K8" s="4">
        <v>0.354355589571716</v>
      </c>
      <c r="L8" s="5">
        <v>0.00212763397072502</v>
      </c>
      <c r="M8" s="4">
        <v>0.485843899321289</v>
      </c>
      <c r="N8" s="4">
        <v>0.0852079219554199</v>
      </c>
    </row>
    <row r="9" spans="1:14">
      <c r="A9" s="3"/>
      <c r="B9" s="3"/>
      <c r="C9" s="1" t="s">
        <v>86</v>
      </c>
      <c r="D9" s="1" t="s">
        <v>87</v>
      </c>
      <c r="E9" s="4">
        <v>0.971183451025183</v>
      </c>
      <c r="F9" s="5">
        <v>0.00273570001507528</v>
      </c>
      <c r="G9" s="4">
        <v>0.650764555512995</v>
      </c>
      <c r="H9" s="4">
        <v>0.041685393397587</v>
      </c>
      <c r="I9" s="4">
        <v>1.65842924845181</v>
      </c>
      <c r="J9" s="4">
        <v>0.0514216190620759</v>
      </c>
      <c r="K9" s="4">
        <v>0.541623760309262</v>
      </c>
      <c r="L9" s="4">
        <v>0.0701782345404396</v>
      </c>
      <c r="M9" s="4">
        <v>0.979760512245425</v>
      </c>
      <c r="N9" s="4">
        <v>0.0367319667394388</v>
      </c>
    </row>
    <row r="10" spans="1:14">
      <c r="A10" s="3"/>
      <c r="B10" s="3"/>
      <c r="C10" s="1" t="s">
        <v>88</v>
      </c>
      <c r="D10" s="1" t="s">
        <v>89</v>
      </c>
      <c r="E10" s="4">
        <v>0.710561286986746</v>
      </c>
      <c r="F10" s="4">
        <v>0.0111133521716076</v>
      </c>
      <c r="G10" s="4">
        <v>0.246516492416246</v>
      </c>
      <c r="H10" s="4">
        <v>0.131992581109545</v>
      </c>
      <c r="I10" s="4">
        <v>0.92897171062283</v>
      </c>
      <c r="J10" s="4">
        <v>0.109385736168304</v>
      </c>
      <c r="K10" s="4">
        <v>0.434869548677421</v>
      </c>
      <c r="L10" s="4">
        <v>0.115189504677595</v>
      </c>
      <c r="M10" s="4">
        <v>0.531322601133511</v>
      </c>
      <c r="N10" s="4">
        <v>0.0963925088860694</v>
      </c>
    </row>
    <row r="11" spans="1:14">
      <c r="A11" s="3"/>
      <c r="B11" s="3"/>
      <c r="C11" s="1" t="s">
        <v>90</v>
      </c>
      <c r="D11" s="1" t="s">
        <v>91</v>
      </c>
      <c r="E11" s="4">
        <v>0.582832212176635</v>
      </c>
      <c r="F11" s="4">
        <v>0.0502928799334608</v>
      </c>
      <c r="G11" s="4">
        <v>0.334532405787988</v>
      </c>
      <c r="H11" s="4">
        <v>0.266910561765245</v>
      </c>
      <c r="I11" s="4">
        <v>1.44414522440928</v>
      </c>
      <c r="J11" s="4">
        <v>0.204968365328914</v>
      </c>
      <c r="K11" s="4">
        <v>0.422414686736535</v>
      </c>
      <c r="L11" s="4">
        <v>0.159578357974989</v>
      </c>
      <c r="M11" s="4">
        <v>0.68542179256497</v>
      </c>
      <c r="N11" s="4">
        <v>0.201763591456135</v>
      </c>
    </row>
    <row r="13" ht="188" customHeight="1" spans="1:14">
      <c r="A13" s="6" t="s">
        <v>92</v>
      </c>
      <c r="B13" s="7"/>
      <c r="C13" s="7"/>
      <c r="D13" s="7"/>
      <c r="E13" s="7"/>
      <c r="F13" s="7"/>
      <c r="G13" s="7"/>
      <c r="H13" s="7"/>
      <c r="I13" s="7"/>
      <c r="J13" s="7"/>
      <c r="K13" s="7"/>
      <c r="L13" s="7"/>
      <c r="M13" s="7"/>
      <c r="N13" s="7"/>
    </row>
    <row r="16" spans="1:14">
      <c r="F16" s="4"/>
      <c r="H16" s="4"/>
      <c r="J16" s="4"/>
      <c r="L16" s="4"/>
      <c r="N16" s="4"/>
    </row>
    <row r="17" spans="5:14">
      <c r="F17" s="4"/>
      <c r="G17" s="4"/>
      <c r="H17" s="4"/>
      <c r="I17" s="4"/>
      <c r="J17" s="4"/>
    </row>
    <row r="18" spans="5:14">
      <c r="F18" s="4"/>
      <c r="G18" s="4"/>
      <c r="H18" s="4"/>
      <c r="I18" s="4"/>
      <c r="J18" s="4"/>
    </row>
    <row r="19" spans="5:14">
      <c r="E19" s="8"/>
      <c r="F19" s="8"/>
      <c r="G19" s="8"/>
      <c r="H19" s="8"/>
      <c r="I19" s="8"/>
      <c r="J19" s="8"/>
      <c r="K19" s="8"/>
      <c r="L19" s="8"/>
      <c r="M19" s="8"/>
      <c r="N19" s="8"/>
    </row>
    <row r="20" spans="5:14">
      <c r="E20" s="8"/>
      <c r="F20" s="8"/>
      <c r="G20" s="8"/>
      <c r="H20" s="8"/>
      <c r="I20" s="8"/>
      <c r="J20" s="8"/>
      <c r="K20" s="8"/>
      <c r="L20" s="8"/>
      <c r="M20" s="8"/>
      <c r="N20" s="8"/>
    </row>
    <row r="21" spans="5:14">
      <c r="E21" s="8"/>
      <c r="F21" s="8"/>
      <c r="G21" s="8"/>
      <c r="H21" s="8"/>
      <c r="I21" s="8"/>
      <c r="J21" s="8"/>
      <c r="K21" s="8"/>
      <c r="L21" s="8"/>
      <c r="M21" s="8"/>
      <c r="N21" s="8"/>
    </row>
    <row r="22" spans="5:14">
      <c r="E22" s="8"/>
      <c r="F22" s="8"/>
      <c r="G22" s="8"/>
      <c r="H22" s="8"/>
      <c r="I22" s="8"/>
      <c r="J22" s="8"/>
      <c r="K22" s="8"/>
      <c r="L22" s="8"/>
      <c r="M22" s="8"/>
      <c r="N22" s="8"/>
    </row>
    <row r="23" spans="5:14">
      <c r="E23" s="8"/>
      <c r="F23" s="8"/>
      <c r="G23" s="8"/>
      <c r="H23" s="8"/>
      <c r="I23" s="8"/>
      <c r="J23" s="8"/>
      <c r="K23" s="8"/>
      <c r="L23" s="8"/>
      <c r="M23" s="8"/>
      <c r="N23" s="8"/>
    </row>
    <row r="24" spans="5:14">
      <c r="E24" s="8"/>
      <c r="F24" s="8"/>
      <c r="G24" s="8"/>
      <c r="H24" s="8"/>
      <c r="I24" s="8"/>
      <c r="J24" s="8"/>
      <c r="K24" s="8"/>
      <c r="L24" s="8"/>
      <c r="M24" s="8"/>
      <c r="N24" s="8"/>
    </row>
    <row r="25" spans="5:14">
      <c r="E25" s="8"/>
      <c r="F25" s="8"/>
      <c r="G25" s="8"/>
      <c r="H25" s="8"/>
      <c r="I25" s="8"/>
      <c r="J25" s="8"/>
      <c r="K25" s="8"/>
      <c r="L25" s="8"/>
      <c r="M25" s="8"/>
      <c r="N25" s="8"/>
    </row>
    <row r="26" spans="5:14">
      <c r="F26" s="4"/>
      <c r="G26" s="4"/>
      <c r="H26" s="4"/>
      <c r="I26" s="4"/>
      <c r="J26" s="4"/>
    </row>
    <row r="27" spans="5:14">
      <c r="F27" s="4"/>
      <c r="G27" s="4"/>
      <c r="H27" s="4"/>
      <c r="I27" s="4"/>
      <c r="J27" s="4"/>
    </row>
    <row r="35" spans="6:10">
      <c r="F35" s="4"/>
      <c r="G35" s="4"/>
      <c r="H35" s="4"/>
      <c r="I35" s="4"/>
      <c r="J35" s="4"/>
    </row>
    <row r="36" spans="6:10">
      <c r="F36" s="4"/>
      <c r="G36" s="4"/>
      <c r="H36" s="4"/>
      <c r="I36" s="4"/>
      <c r="J36" s="4"/>
    </row>
    <row r="37" spans="6:10">
      <c r="F37" s="4"/>
      <c r="G37" s="4"/>
      <c r="H37" s="4"/>
      <c r="I37" s="4"/>
      <c r="J37" s="4"/>
    </row>
    <row r="38" spans="6:10">
      <c r="F38" s="4"/>
      <c r="G38" s="4"/>
      <c r="H38" s="4"/>
      <c r="I38" s="4"/>
      <c r="J38" s="4"/>
    </row>
    <row r="39" spans="6:10">
      <c r="F39" s="4"/>
      <c r="G39" s="4"/>
      <c r="H39" s="4"/>
      <c r="I39" s="4"/>
      <c r="J39" s="4"/>
    </row>
    <row r="40" spans="6:10">
      <c r="F40" s="4"/>
      <c r="G40" s="4"/>
      <c r="H40" s="4"/>
      <c r="I40" s="4"/>
      <c r="J40" s="4"/>
    </row>
    <row r="41" spans="6:10">
      <c r="F41" s="4"/>
      <c r="G41" s="4"/>
      <c r="H41" s="4"/>
      <c r="I41" s="4"/>
      <c r="J41" s="4"/>
    </row>
    <row r="42" spans="6:10">
      <c r="F42" s="4"/>
      <c r="G42" s="4"/>
      <c r="H42" s="4"/>
      <c r="I42" s="4"/>
      <c r="J42" s="4"/>
    </row>
    <row r="43" spans="6:10">
      <c r="F43" s="4"/>
      <c r="G43" s="4"/>
      <c r="H43" s="4"/>
      <c r="I43" s="4"/>
      <c r="J43" s="4"/>
    </row>
  </sheetData>
  <mergeCells count="13">
    <mergeCell ref="A1:N1"/>
    <mergeCell ref="E2:F2"/>
    <mergeCell ref="G2:H2"/>
    <mergeCell ref="I2:J2"/>
    <mergeCell ref="K2:L2"/>
    <mergeCell ref="M2:N2"/>
    <mergeCell ref="A13:N13"/>
    <mergeCell ref="A2:A3"/>
    <mergeCell ref="A4:A11"/>
    <mergeCell ref="B2:B3"/>
    <mergeCell ref="B4:B11"/>
    <mergeCell ref="C2:C3"/>
    <mergeCell ref="D2:D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5</vt:i4>
      </vt:variant>
    </vt:vector>
  </HeadingPairs>
  <TitlesOfParts>
    <vt:vector size="5" baseType="lpstr">
      <vt:lpstr>Sensitivity (Survey, Persona)</vt:lpstr>
      <vt:lpstr>Semantic Consistency</vt:lpstr>
      <vt:lpstr>Persona Vector</vt:lpstr>
      <vt:lpstr>Robustness (Larger N)</vt:lpstr>
      <vt:lpstr>Layer Sensitivity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wanghexi</dc:creator>
  <cp:lastModifiedBy>汪何希</cp:lastModifiedBy>
  <dcterms:created xsi:type="dcterms:W3CDTF">2026-04-11T08:17:00Z</dcterms:created>
  <dcterms:modified xsi:type="dcterms:W3CDTF">2026-04-11T02:59:40Z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A397923497FC28850FB2D86903EA0554_41</vt:lpwstr>
  </property>
  <property fmtid="{D5CDD505-2E9C-101B-9397-08002B2CF9AE}" pid="3" name="KSOProductBuildVer">
    <vt:lpwstr>2052-12.1.24031.24031</vt:lpwstr>
  </property>
  <property fmtid="{D5CDD505-2E9C-101B-9397-08002B2CF9AE}" pid="4" name="CalculationRule">
    <vt:i4>1</vt:i4>
  </property>
</Properties>
</file>